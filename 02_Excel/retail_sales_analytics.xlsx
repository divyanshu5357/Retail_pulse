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KPI_Dashboard" sheetId="1" state="visible" r:id="rId1"/>
    <sheet name="Sales_Transactions" sheetId="2" state="visible" r:id="rId2"/>
    <sheet name="Advanced_Formulas_Lab" sheetId="3" state="visible" r:id="rId3"/>
    <sheet name="Pivot_Summary_Matrix" sheetId="4" state="visible" r:id="rId4"/>
    <sheet name="Customer_Lifetime_Value" sheetId="5" state="visible" r:id="rId5"/>
  </sheets>
  <definedNames>
    <definedName name="_xlnm._FilterDatabase" localSheetId="1" hidden="1">'Sales_Transactions'!$A$1:$Q$531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475569"/>
      <sz val="10"/>
    </font>
    <font>
      <name val="Calibri"/>
      <b val="1"/>
      <color rgb="000F172A"/>
      <sz val="18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onsolas"/>
      <color rgb="001E3A8A"/>
      <sz val="9.5"/>
    </font>
    <font>
      <name val="Calibri"/>
      <b val="1"/>
      <color rgb="000F172A"/>
      <sz val="11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334155"/>
        <bgColor rgb="00334155"/>
      </patternFill>
    </fill>
    <fill>
      <patternFill patternType="solid">
        <fgColor rgb="00BBF7D0"/>
        <bgColor rgb="00BBF7D0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0" fontId="0" fillId="0" borderId="3" pivotButton="0" quotePrefix="0" xfId="0"/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5" fillId="0" borderId="0" pivotButton="0" quotePrefix="0" xfId="0"/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0" borderId="1" pivotButton="0" quotePrefix="0" xfId="0"/>
    <xf numFmtId="3" fontId="8" fillId="0" borderId="1" pivotButton="0" quotePrefix="0" xfId="0"/>
    <xf numFmtId="164" fontId="8" fillId="0" borderId="1" pivotButton="0" quotePrefix="0" xfId="0"/>
    <xf numFmtId="10" fontId="8" fillId="0" borderId="1" pivotButton="0" quotePrefix="0" xfId="0"/>
    <xf numFmtId="0" fontId="7" fillId="6" borderId="1" pivotButton="0" quotePrefix="0" xfId="0"/>
    <xf numFmtId="3" fontId="8" fillId="6" borderId="1" pivotButton="0" quotePrefix="0" xfId="0"/>
    <xf numFmtId="164" fontId="8" fillId="6" borderId="1" pivotButton="0" quotePrefix="0" xfId="0"/>
    <xf numFmtId="10" fontId="8" fillId="6" borderId="1" pivotButton="0" quotePrefix="0" xfId="0"/>
    <xf numFmtId="0" fontId="7" fillId="7" borderId="9" pivotButton="0" quotePrefix="0" xfId="0"/>
    <xf numFmtId="3" fontId="7" fillId="7" borderId="9" pivotButton="0" quotePrefix="0" xfId="0"/>
    <xf numFmtId="164" fontId="7" fillId="7" borderId="9" pivotButton="0" quotePrefix="0" xfId="0"/>
    <xf numFmtId="10" fontId="7" fillId="7" borderId="9" pivotButton="0" quotePrefix="0" xfId="0"/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8" fillId="0" borderId="1" pivotButton="0" quotePrefix="0" xfId="0"/>
    <xf numFmtId="3" fontId="8" fillId="0" borderId="1" applyAlignment="1" pivotButton="0" quotePrefix="0" xfId="0">
      <alignment horizontal="right"/>
    </xf>
    <xf numFmtId="165" fontId="8" fillId="0" borderId="1" pivotButton="0" quotePrefix="0" xfId="0"/>
    <xf numFmtId="0" fontId="8" fillId="6" borderId="1" applyAlignment="1" pivotButton="0" quotePrefix="0" xfId="0">
      <alignment horizontal="center"/>
    </xf>
    <xf numFmtId="0" fontId="8" fillId="6" borderId="1" pivotButton="0" quotePrefix="0" xfId="0"/>
    <xf numFmtId="3" fontId="8" fillId="6" borderId="1" applyAlignment="1" pivotButton="0" quotePrefix="0" xfId="0">
      <alignment horizontal="right"/>
    </xf>
    <xf numFmtId="165" fontId="8" fillId="6" borderId="1" pivotButton="0" quotePrefix="0" xfId="0"/>
    <xf numFmtId="0" fontId="7" fillId="6" borderId="1" applyAlignment="1" pivotButton="0" quotePrefix="0" xfId="0">
      <alignment horizontal="center"/>
    </xf>
    <xf numFmtId="0" fontId="9" fillId="6" borderId="1" pivotButton="0" quotePrefix="0" xfId="0"/>
    <xf numFmtId="0" fontId="7" fillId="0" borderId="1" applyAlignment="1" pivotButton="0" quotePrefix="0" xfId="0">
      <alignment horizontal="center"/>
    </xf>
    <xf numFmtId="0" fontId="9" fillId="0" borderId="1" pivotButton="0" quotePrefix="0" xfId="0"/>
    <xf numFmtId="10" fontId="7" fillId="0" borderId="1" applyAlignment="1" pivotButton="0" quotePrefix="0" xfId="0">
      <alignment horizontal="center"/>
    </xf>
    <xf numFmtId="164" fontId="7" fillId="6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3" fontId="7" fillId="6" borderId="1" applyAlignment="1" pivotButton="0" quotePrefix="0" xfId="0">
      <alignment horizontal="center"/>
    </xf>
    <xf numFmtId="10" fontId="8" fillId="0" borderId="1" applyAlignment="1" pivotButton="0" quotePrefix="0" xfId="0">
      <alignment horizontal="right"/>
    </xf>
    <xf numFmtId="10" fontId="8" fillId="6" borderId="1" applyAlignment="1" pivotButton="0" quotePrefix="0" xfId="0">
      <alignment horizontal="right"/>
    </xf>
    <xf numFmtId="0" fontId="10" fillId="0" borderId="0" pivotButton="0" quotePrefix="0" xfId="0"/>
    <xf numFmtId="0" fontId="7" fillId="0" borderId="0" pivotButton="0" quotePrefix="0" xfId="0"/>
    <xf numFmtId="164" fontId="7" fillId="7" borderId="1" pivotButton="0" quotePrefix="0" xfId="0"/>
    <xf numFmtId="164" fontId="7" fillId="9" borderId="9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3" fontId="0" fillId="6" borderId="1" pivotButton="0" quotePrefix="0" xfId="0"/>
    <xf numFmtId="164" fontId="0" fillId="6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 Revenue vs Profit by Merchandise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'Executive_KPI_Dashboard'!E10</f>
            </strRef>
          </tx>
          <spPr>
            <a:ln>
              <a:prstDash val="solid"/>
            </a:ln>
          </spPr>
          <cat>
            <numRef>
              <f>'Executive_KPI_Dashboard'!$B$11:$B$15</f>
            </numRef>
          </cat>
          <val>
            <numRef>
              <f>'Executive_KPI_Dashboard'!$E$11:$E$15</f>
            </numRef>
          </val>
        </ser>
        <ser>
          <idx val="1"/>
          <order val="1"/>
          <tx>
            <strRef>
              <f>'Executive_KPI_Dashboard'!F10</f>
            </strRef>
          </tx>
          <spPr>
            <a:ln>
              <a:prstDash val="solid"/>
            </a:ln>
          </spPr>
          <cat>
            <numRef>
              <f>'Executive_KPI_Dashboard'!$B$11:$B$15</f>
            </numRef>
          </cat>
          <val>
            <numRef>
              <f>'Executive_KPI_Dashboard'!$F$11:$F$15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8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20" customWidth="1" min="4" max="4"/>
    <col width="22" customWidth="1" min="5" max="5"/>
    <col width="20" customWidth="1" min="6" max="6"/>
    <col width="16" customWidth="1" min="7" max="7"/>
    <col width="18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 xml:space="preserve">   RETAIL SALES &amp; CUSTOMER ANALYTICS — EXECUTIVE KPI DASHBOARD</t>
        </is>
      </c>
    </row>
    <row r="2"/>
    <row r="3">
      <c r="A3" s="2" t="inlineStr">
        <is>
          <t xml:space="preserve">   Dataset: 530 Transactions | 280 Orders | 110 Customers | 5 Geographic Regions | Generated: 2026-10-30</t>
        </is>
      </c>
    </row>
    <row r="5">
      <c r="B5" s="3" t="inlineStr">
        <is>
          <t>TOTAL NET REVENUE</t>
        </is>
      </c>
      <c r="C5" s="4" t="n"/>
      <c r="D5" s="3" t="inlineStr">
        <is>
          <t>TOTAL GROSS PROFIT</t>
        </is>
      </c>
      <c r="E5" s="4" t="n"/>
      <c r="F5" s="3" t="inlineStr">
        <is>
          <t>OVERALL PROFIT MARGIN</t>
        </is>
      </c>
      <c r="G5" s="4" t="n"/>
      <c r="H5" s="3" t="inlineStr">
        <is>
          <t>TOTAL COMPLETED ORDERS</t>
        </is>
      </c>
      <c r="I5" s="4" t="n"/>
      <c r="J5" s="3" t="inlineStr">
        <is>
          <t>AVERAGE ORDER VALUE (AOV)</t>
        </is>
      </c>
      <c r="K5" s="4" t="n"/>
    </row>
    <row r="6">
      <c r="B6" s="5">
        <f>SUM(Sales_Transactions!M2:M531)</f>
        <v/>
      </c>
      <c r="C6" s="6" t="n"/>
      <c r="D6" s="5">
        <f>SUM(Sales_Transactions!O2:O531)</f>
        <v/>
      </c>
      <c r="E6" s="6" t="n"/>
      <c r="F6" s="7">
        <f>D6/B6</f>
        <v/>
      </c>
      <c r="G6" s="6" t="n"/>
      <c r="H6" s="8">
        <f>COUNTIF(Sales_Transactions!Q2:Q531, "&lt;&gt;Cancelled")</f>
        <v/>
      </c>
      <c r="I6" s="6" t="n"/>
      <c r="J6" s="5">
        <f>B6/H6</f>
        <v/>
      </c>
      <c r="K6" s="6" t="n"/>
    </row>
    <row r="7">
      <c r="B7" s="9" t="n"/>
      <c r="C7" s="10" t="n"/>
      <c r="D7" s="9" t="n"/>
      <c r="E7" s="10" t="n"/>
      <c r="F7" s="9" t="n"/>
      <c r="G7" s="10" t="n"/>
      <c r="H7" s="9" t="n"/>
      <c r="I7" s="10" t="n"/>
      <c r="J7" s="9" t="n"/>
      <c r="K7" s="10" t="n"/>
    </row>
    <row r="9">
      <c r="B9" s="11" t="inlineStr">
        <is>
          <t>Merchandise Category Performance Breakdown</t>
        </is>
      </c>
    </row>
    <row r="10">
      <c r="B10" s="12" t="inlineStr">
        <is>
          <t>Category</t>
        </is>
      </c>
      <c r="C10" s="13" t="inlineStr">
        <is>
          <t>Orders Count</t>
        </is>
      </c>
      <c r="D10" s="13" t="inlineStr">
        <is>
          <t>Units Sold</t>
        </is>
      </c>
      <c r="E10" s="13" t="inlineStr">
        <is>
          <t>Net Revenue (INR)</t>
        </is>
      </c>
      <c r="F10" s="13" t="inlineStr">
        <is>
          <t>Total Profit (INR)</t>
        </is>
      </c>
      <c r="G10" s="13" t="inlineStr">
        <is>
          <t>Profit Margin</t>
        </is>
      </c>
    </row>
    <row r="11">
      <c r="B11" s="14" t="inlineStr">
        <is>
          <t>Electronics</t>
        </is>
      </c>
      <c r="C11" s="15">
        <f>COUNTIFS(Sales_Transactions!G:G, "Electronics", Sales_Transactions!Q:Q, "&lt;&gt;Cancelled")</f>
        <v/>
      </c>
      <c r="D11" s="15">
        <f>SUMIFS(Sales_Transactions!H:H, Sales_Transactions!G:G, "Electronics", Sales_Transactions!Q:Q, "&lt;&gt;Cancelled")</f>
        <v/>
      </c>
      <c r="E11" s="16">
        <f>SUMIFS(Sales_Transactions!M:M, Sales_Transactions!G:G, "Electronics", Sales_Transactions!Q:Q, "&lt;&gt;Cancelled")</f>
        <v/>
      </c>
      <c r="F11" s="16">
        <f>SUMIFS(Sales_Transactions!O:O, Sales_Transactions!G:G, "Electronics", Sales_Transactions!Q:Q, "&lt;&gt;Cancelled")</f>
        <v/>
      </c>
      <c r="G11" s="17">
        <f>F11/E11</f>
        <v/>
      </c>
    </row>
    <row r="12">
      <c r="B12" s="18" t="inlineStr">
        <is>
          <t>Fashion</t>
        </is>
      </c>
      <c r="C12" s="19">
        <f>COUNTIFS(Sales_Transactions!G:G, "Fashion", Sales_Transactions!Q:Q, "&lt;&gt;Cancelled")</f>
        <v/>
      </c>
      <c r="D12" s="19">
        <f>SUMIFS(Sales_Transactions!H:H, Sales_Transactions!G:G, "Fashion", Sales_Transactions!Q:Q, "&lt;&gt;Cancelled")</f>
        <v/>
      </c>
      <c r="E12" s="20">
        <f>SUMIFS(Sales_Transactions!M:M, Sales_Transactions!G:G, "Fashion", Sales_Transactions!Q:Q, "&lt;&gt;Cancelled")</f>
        <v/>
      </c>
      <c r="F12" s="20">
        <f>SUMIFS(Sales_Transactions!O:O, Sales_Transactions!G:G, "Fashion", Sales_Transactions!Q:Q, "&lt;&gt;Cancelled")</f>
        <v/>
      </c>
      <c r="G12" s="21">
        <f>F12/E12</f>
        <v/>
      </c>
    </row>
    <row r="13">
      <c r="B13" s="14" t="inlineStr">
        <is>
          <t>Groceries</t>
        </is>
      </c>
      <c r="C13" s="15">
        <f>COUNTIFS(Sales_Transactions!G:G, "Groceries", Sales_Transactions!Q:Q, "&lt;&gt;Cancelled")</f>
        <v/>
      </c>
      <c r="D13" s="15">
        <f>SUMIFS(Sales_Transactions!H:H, Sales_Transactions!G:G, "Groceries", Sales_Transactions!Q:Q, "&lt;&gt;Cancelled")</f>
        <v/>
      </c>
      <c r="E13" s="16">
        <f>SUMIFS(Sales_Transactions!M:M, Sales_Transactions!G:G, "Groceries", Sales_Transactions!Q:Q, "&lt;&gt;Cancelled")</f>
        <v/>
      </c>
      <c r="F13" s="16">
        <f>SUMIFS(Sales_Transactions!O:O, Sales_Transactions!G:G, "Groceries", Sales_Transactions!Q:Q, "&lt;&gt;Cancelled")</f>
        <v/>
      </c>
      <c r="G13" s="17">
        <f>F13/E13</f>
        <v/>
      </c>
    </row>
    <row r="14">
      <c r="B14" s="18" t="inlineStr">
        <is>
          <t>Home &amp; Living</t>
        </is>
      </c>
      <c r="C14" s="19">
        <f>COUNTIFS(Sales_Transactions!G:G, "Home &amp; Living", Sales_Transactions!Q:Q, "&lt;&gt;Cancelled")</f>
        <v/>
      </c>
      <c r="D14" s="19">
        <f>SUMIFS(Sales_Transactions!H:H, Sales_Transactions!G:G, "Home &amp; Living", Sales_Transactions!Q:Q, "&lt;&gt;Cancelled")</f>
        <v/>
      </c>
      <c r="E14" s="20">
        <f>SUMIFS(Sales_Transactions!M:M, Sales_Transactions!G:G, "Home &amp; Living", Sales_Transactions!Q:Q, "&lt;&gt;Cancelled")</f>
        <v/>
      </c>
      <c r="F14" s="20">
        <f>SUMIFS(Sales_Transactions!O:O, Sales_Transactions!G:G, "Home &amp; Living", Sales_Transactions!Q:Q, "&lt;&gt;Cancelled")</f>
        <v/>
      </c>
      <c r="G14" s="21">
        <f>F14/E14</f>
        <v/>
      </c>
    </row>
    <row r="15">
      <c r="B15" s="14" t="inlineStr">
        <is>
          <t>Sports</t>
        </is>
      </c>
      <c r="C15" s="15">
        <f>COUNTIFS(Sales_Transactions!G:G, "Sports", Sales_Transactions!Q:Q, "&lt;&gt;Cancelled")</f>
        <v/>
      </c>
      <c r="D15" s="15">
        <f>SUMIFS(Sales_Transactions!H:H, Sales_Transactions!G:G, "Sports", Sales_Transactions!Q:Q, "&lt;&gt;Cancelled")</f>
        <v/>
      </c>
      <c r="E15" s="16">
        <f>SUMIFS(Sales_Transactions!M:M, Sales_Transactions!G:G, "Sports", Sales_Transactions!Q:Q, "&lt;&gt;Cancelled")</f>
        <v/>
      </c>
      <c r="F15" s="16">
        <f>SUMIFS(Sales_Transactions!O:O, Sales_Transactions!G:G, "Sports", Sales_Transactions!Q:Q, "&lt;&gt;Cancelled")</f>
        <v/>
      </c>
      <c r="G15" s="17">
        <f>F15/E15</f>
        <v/>
      </c>
    </row>
    <row r="16">
      <c r="B16" s="22" t="inlineStr">
        <is>
          <t>Grand Total</t>
        </is>
      </c>
      <c r="C16" s="23">
        <f>SUM(C11:C15)</f>
        <v/>
      </c>
      <c r="D16" s="23">
        <f>SUM(D11:D15)</f>
        <v/>
      </c>
      <c r="E16" s="24">
        <f>SUM(E11:E15)</f>
        <v/>
      </c>
      <c r="F16" s="24">
        <f>SUM(F11:F15)</f>
        <v/>
      </c>
      <c r="G16" s="25">
        <f>F16/E16</f>
        <v/>
      </c>
    </row>
    <row r="18">
      <c r="B18" s="11" t="inlineStr">
        <is>
          <t>Geographic Regional Distribution</t>
        </is>
      </c>
    </row>
    <row r="19">
      <c r="B19" s="26" t="inlineStr">
        <is>
          <t>Region</t>
        </is>
      </c>
      <c r="C19" s="27" t="inlineStr">
        <is>
          <t>Order Count</t>
        </is>
      </c>
      <c r="D19" s="27" t="inlineStr">
        <is>
          <t>Net Revenue (INR)</t>
        </is>
      </c>
      <c r="E19" s="27" t="inlineStr">
        <is>
          <t>Profit (INR)</t>
        </is>
      </c>
      <c r="F19" s="27" t="inlineStr">
        <is>
          <t>AOV (INR)</t>
        </is>
      </c>
    </row>
    <row r="20">
      <c r="B20" s="18" t="inlineStr">
        <is>
          <t>East</t>
        </is>
      </c>
      <c r="C20" s="19">
        <f>COUNTIFS(Sales_Transactions!D:D, "East", Sales_Transactions!Q:Q, "&lt;&gt;Cancelled")</f>
        <v/>
      </c>
      <c r="D20" s="20">
        <f>SUMIFS(Sales_Transactions!M:M, Sales_Transactions!D:D, "East", Sales_Transactions!Q:Q, "&lt;&gt;Cancelled")</f>
        <v/>
      </c>
      <c r="E20" s="20">
        <f>SUMIFS(Sales_Transactions!O:O, Sales_Transactions!D:D, "East", Sales_Transactions!Q:Q, "&lt;&gt;Cancelled")</f>
        <v/>
      </c>
      <c r="F20" s="20">
        <f>D20/C20</f>
        <v/>
      </c>
    </row>
    <row r="21">
      <c r="B21" s="14" t="inlineStr">
        <is>
          <t>Central</t>
        </is>
      </c>
      <c r="C21" s="15">
        <f>COUNTIFS(Sales_Transactions!D:D, "Central", Sales_Transactions!Q:Q, "&lt;&gt;Cancelled")</f>
        <v/>
      </c>
      <c r="D21" s="16">
        <f>SUMIFS(Sales_Transactions!M:M, Sales_Transactions!D:D, "Central", Sales_Transactions!Q:Q, "&lt;&gt;Cancelled")</f>
        <v/>
      </c>
      <c r="E21" s="16">
        <f>SUMIFS(Sales_Transactions!O:O, Sales_Transactions!D:D, "Central", Sales_Transactions!Q:Q, "&lt;&gt;Cancelled")</f>
        <v/>
      </c>
      <c r="F21" s="16">
        <f>D21/C21</f>
        <v/>
      </c>
    </row>
    <row r="22">
      <c r="B22" s="18" t="inlineStr">
        <is>
          <t>South</t>
        </is>
      </c>
      <c r="C22" s="19">
        <f>COUNTIFS(Sales_Transactions!D:D, "South", Sales_Transactions!Q:Q, "&lt;&gt;Cancelled")</f>
        <v/>
      </c>
      <c r="D22" s="20">
        <f>SUMIFS(Sales_Transactions!M:M, Sales_Transactions!D:D, "South", Sales_Transactions!Q:Q, "&lt;&gt;Cancelled")</f>
        <v/>
      </c>
      <c r="E22" s="20">
        <f>SUMIFS(Sales_Transactions!O:O, Sales_Transactions!D:D, "South", Sales_Transactions!Q:Q, "&lt;&gt;Cancelled")</f>
        <v/>
      </c>
      <c r="F22" s="20">
        <f>D22/C22</f>
        <v/>
      </c>
    </row>
    <row r="23">
      <c r="B23" s="14" t="inlineStr">
        <is>
          <t>North</t>
        </is>
      </c>
      <c r="C23" s="15">
        <f>COUNTIFS(Sales_Transactions!D:D, "North", Sales_Transactions!Q:Q, "&lt;&gt;Cancelled")</f>
        <v/>
      </c>
      <c r="D23" s="16">
        <f>SUMIFS(Sales_Transactions!M:M, Sales_Transactions!D:D, "North", Sales_Transactions!Q:Q, "&lt;&gt;Cancelled")</f>
        <v/>
      </c>
      <c r="E23" s="16">
        <f>SUMIFS(Sales_Transactions!O:O, Sales_Transactions!D:D, "North", Sales_Transactions!Q:Q, "&lt;&gt;Cancelled")</f>
        <v/>
      </c>
      <c r="F23" s="16">
        <f>D23/C23</f>
        <v/>
      </c>
    </row>
    <row r="24">
      <c r="B24" s="18" t="inlineStr">
        <is>
          <t>West</t>
        </is>
      </c>
      <c r="C24" s="19">
        <f>COUNTIFS(Sales_Transactions!D:D, "West", Sales_Transactions!Q:Q, "&lt;&gt;Cancelled")</f>
        <v/>
      </c>
      <c r="D24" s="20">
        <f>SUMIFS(Sales_Transactions!M:M, Sales_Transactions!D:D, "West", Sales_Transactions!Q:Q, "&lt;&gt;Cancelled")</f>
        <v/>
      </c>
      <c r="E24" s="20">
        <f>SUMIFS(Sales_Transactions!O:O, Sales_Transactions!D:D, "West", Sales_Transactions!Q:Q, "&lt;&gt;Cancelled")</f>
        <v/>
      </c>
      <c r="F24" s="20">
        <f>D24/C24</f>
        <v/>
      </c>
    </row>
    <row r="25">
      <c r="B25" s="22" t="inlineStr">
        <is>
          <t>Grand Total</t>
        </is>
      </c>
      <c r="C25" s="23">
        <f>SUM(C20:C24)</f>
        <v/>
      </c>
      <c r="D25" s="24">
        <f>SUM(D20:D24)</f>
        <v/>
      </c>
      <c r="E25" s="24">
        <f>SUM(E20:E24)</f>
        <v/>
      </c>
      <c r="F25" s="24">
        <f>D25/C25</f>
        <v/>
      </c>
    </row>
  </sheetData>
  <mergeCells count="12">
    <mergeCell ref="A3:K3"/>
    <mergeCell ref="J5:K5"/>
    <mergeCell ref="H6:I7"/>
    <mergeCell ref="B5:C5"/>
    <mergeCell ref="J6:K7"/>
    <mergeCell ref="F5:G5"/>
    <mergeCell ref="D5:E5"/>
    <mergeCell ref="D6:E7"/>
    <mergeCell ref="B6:C7"/>
    <mergeCell ref="H5:I5"/>
    <mergeCell ref="F6:G7"/>
    <mergeCell ref="A1:K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2" customWidth="1" min="4" max="4"/>
    <col width="15" customWidth="1" min="5" max="5"/>
    <col width="40" customWidth="1" min="6" max="6"/>
    <col width="17" customWidth="1" min="7" max="7"/>
    <col width="12" customWidth="1" min="8" max="8"/>
    <col width="18" customWidth="1" min="9" max="9"/>
    <col width="16" customWidth="1" min="10" max="10"/>
    <col width="20" customWidth="1" min="11" max="11"/>
    <col width="23" customWidth="1" min="12" max="12"/>
    <col width="18" customWidth="1" min="13" max="13"/>
    <col width="18" customWidth="1" min="14" max="14"/>
    <col width="14" customWidth="1" min="15" max="15"/>
    <col width="24" customWidth="1" min="16" max="16"/>
    <col width="16" customWidth="1" min="17" max="17"/>
  </cols>
  <sheetData>
    <row r="1">
      <c r="A1" s="28" t="inlineStr">
        <is>
          <t>Order_ID</t>
        </is>
      </c>
      <c r="B1" s="28" t="inlineStr">
        <is>
          <t>Order_Date</t>
        </is>
      </c>
      <c r="C1" s="28" t="inlineStr">
        <is>
          <t>Customer_Name</t>
        </is>
      </c>
      <c r="D1" s="28" t="inlineStr">
        <is>
          <t>Region</t>
        </is>
      </c>
      <c r="E1" s="28" t="inlineStr">
        <is>
          <t>City</t>
        </is>
      </c>
      <c r="F1" s="28" t="inlineStr">
        <is>
          <t>Product_Name</t>
        </is>
      </c>
      <c r="G1" s="28" t="inlineStr">
        <is>
          <t>Category</t>
        </is>
      </c>
      <c r="H1" s="28" t="inlineStr">
        <is>
          <t>Quantity</t>
        </is>
      </c>
      <c r="I1" s="28" t="inlineStr">
        <is>
          <t>Unit_Price_INR</t>
        </is>
      </c>
      <c r="J1" s="28" t="inlineStr">
        <is>
          <t>Discount_Pct</t>
        </is>
      </c>
      <c r="K1" s="28" t="inlineStr">
        <is>
          <t>Gross_Amount_INR</t>
        </is>
      </c>
      <c r="L1" s="28" t="inlineStr">
        <is>
          <t>Discount_Amount_INR</t>
        </is>
      </c>
      <c r="M1" s="28" t="inlineStr">
        <is>
          <t>Net_Amount_INR</t>
        </is>
      </c>
      <c r="N1" s="28" t="inlineStr">
        <is>
          <t>Total_Cost_INR</t>
        </is>
      </c>
      <c r="O1" s="28" t="inlineStr">
        <is>
          <t>Profit_INR</t>
        </is>
      </c>
      <c r="P1" s="28" t="inlineStr">
        <is>
          <t>Profit_Margin_Pct</t>
        </is>
      </c>
      <c r="Q1" s="28" t="inlineStr">
        <is>
          <t>Order_Status</t>
        </is>
      </c>
    </row>
    <row r="2">
      <c r="A2" s="29" t="n">
        <v>1</v>
      </c>
      <c r="B2" s="29" t="inlineStr">
        <is>
          <t>2025-06-14</t>
        </is>
      </c>
      <c r="C2" s="30" t="inlineStr">
        <is>
          <t>Arjun Choudhury</t>
        </is>
      </c>
      <c r="D2" s="29" t="inlineStr">
        <is>
          <t>East</t>
        </is>
      </c>
      <c r="E2" s="30" t="inlineStr">
        <is>
          <t>Patna</t>
        </is>
      </c>
      <c r="F2" s="30" t="inlineStr">
        <is>
          <t>Women Floral Embroidered Kurti</t>
        </is>
      </c>
      <c r="G2" s="29" t="inlineStr">
        <is>
          <t>Fashion</t>
        </is>
      </c>
      <c r="H2" s="31" t="n">
        <v>1</v>
      </c>
      <c r="I2" s="16" t="n">
        <v>1899</v>
      </c>
      <c r="J2" s="32" t="n">
        <v>0.12</v>
      </c>
      <c r="K2" s="16">
        <f>H2*I2</f>
        <v/>
      </c>
      <c r="L2" s="16">
        <f>K2*J2</f>
        <v/>
      </c>
      <c r="M2" s="16">
        <f>K2-L2</f>
        <v/>
      </c>
      <c r="N2" s="16" t="n">
        <v>800</v>
      </c>
      <c r="O2" s="16">
        <f>M2-N2</f>
        <v/>
      </c>
      <c r="P2" s="17">
        <f>IFERROR(O2/M2, 0)</f>
        <v/>
      </c>
      <c r="Q2" s="29" t="inlineStr">
        <is>
          <t>Delivered</t>
        </is>
      </c>
    </row>
    <row r="3">
      <c r="A3" s="33" t="n">
        <v>1</v>
      </c>
      <c r="B3" s="33" t="inlineStr">
        <is>
          <t>2025-06-14</t>
        </is>
      </c>
      <c r="C3" s="34" t="inlineStr">
        <is>
          <t>Arjun Choudhury</t>
        </is>
      </c>
      <c r="D3" s="33" t="inlineStr">
        <is>
          <t>East</t>
        </is>
      </c>
      <c r="E3" s="34" t="inlineStr">
        <is>
          <t>Patna</t>
        </is>
      </c>
      <c r="F3" s="34" t="inlineStr">
        <is>
          <t>Unisex Classic Denim Jeans</t>
        </is>
      </c>
      <c r="G3" s="33" t="inlineStr">
        <is>
          <t>Fashion</t>
        </is>
      </c>
      <c r="H3" s="35" t="n">
        <v>1</v>
      </c>
      <c r="I3" s="20" t="n">
        <v>2499</v>
      </c>
      <c r="J3" s="36" t="n">
        <v>0</v>
      </c>
      <c r="K3" s="20">
        <f>H3*I3</f>
        <v/>
      </c>
      <c r="L3" s="20">
        <f>K3*J3</f>
        <v/>
      </c>
      <c r="M3" s="20">
        <f>K3-L3</f>
        <v/>
      </c>
      <c r="N3" s="20" t="n">
        <v>1100</v>
      </c>
      <c r="O3" s="20">
        <f>M3-N3</f>
        <v/>
      </c>
      <c r="P3" s="21">
        <f>IFERROR(O3/M3, 0)</f>
        <v/>
      </c>
      <c r="Q3" s="33" t="inlineStr">
        <is>
          <t>Delivered</t>
        </is>
      </c>
    </row>
    <row r="4">
      <c r="A4" s="29" t="n">
        <v>2</v>
      </c>
      <c r="B4" s="29" t="inlineStr">
        <is>
          <t>2025-05-16</t>
        </is>
      </c>
      <c r="C4" s="30" t="inlineStr">
        <is>
          <t>Suresh Saxena</t>
        </is>
      </c>
      <c r="D4" s="29" t="inlineStr">
        <is>
          <t>Central</t>
        </is>
      </c>
      <c r="E4" s="30" t="inlineStr">
        <is>
          <t>Bhopal</t>
        </is>
      </c>
      <c r="F4" s="30" t="inlineStr">
        <is>
          <t>Men Slim-Fit Cotton Casual Shirt</t>
        </is>
      </c>
      <c r="G4" s="29" t="inlineStr">
        <is>
          <t>Fashion</t>
        </is>
      </c>
      <c r="H4" s="31" t="n">
        <v>1</v>
      </c>
      <c r="I4" s="16" t="n">
        <v>1499</v>
      </c>
      <c r="J4" s="32" t="n">
        <v>0.1</v>
      </c>
      <c r="K4" s="16">
        <f>H4*I4</f>
        <v/>
      </c>
      <c r="L4" s="16">
        <f>K4*J4</f>
        <v/>
      </c>
      <c r="M4" s="16">
        <f>K4-L4</f>
        <v/>
      </c>
      <c r="N4" s="16" t="n">
        <v>650</v>
      </c>
      <c r="O4" s="16">
        <f>M4-N4</f>
        <v/>
      </c>
      <c r="P4" s="17">
        <f>IFERROR(O4/M4, 0)</f>
        <v/>
      </c>
      <c r="Q4" s="29" t="inlineStr">
        <is>
          <t>Processing</t>
        </is>
      </c>
    </row>
    <row r="5">
      <c r="A5" s="33" t="n">
        <v>3</v>
      </c>
      <c r="B5" s="33" t="inlineStr">
        <is>
          <t>2025-08-05</t>
        </is>
      </c>
      <c r="C5" s="34" t="inlineStr">
        <is>
          <t>Shreya Kapoor</t>
        </is>
      </c>
      <c r="D5" s="33" t="inlineStr">
        <is>
          <t>East</t>
        </is>
      </c>
      <c r="E5" s="34" t="inlineStr">
        <is>
          <t>Bhubaneswar</t>
        </is>
      </c>
      <c r="F5" s="34" t="inlineStr">
        <is>
          <t>Men Slim-Fit Cotton Casual Shirt</t>
        </is>
      </c>
      <c r="G5" s="33" t="inlineStr">
        <is>
          <t>Fashion</t>
        </is>
      </c>
      <c r="H5" s="35" t="n">
        <v>2</v>
      </c>
      <c r="I5" s="20" t="n">
        <v>1499</v>
      </c>
      <c r="J5" s="36" t="n">
        <v>0.1</v>
      </c>
      <c r="K5" s="20">
        <f>H5*I5</f>
        <v/>
      </c>
      <c r="L5" s="20">
        <f>K5*J5</f>
        <v/>
      </c>
      <c r="M5" s="20">
        <f>K5-L5</f>
        <v/>
      </c>
      <c r="N5" s="20" t="n">
        <v>1300</v>
      </c>
      <c r="O5" s="20">
        <f>M5-N5</f>
        <v/>
      </c>
      <c r="P5" s="21">
        <f>IFERROR(O5/M5, 0)</f>
        <v/>
      </c>
      <c r="Q5" s="33" t="inlineStr">
        <is>
          <t>Delivered</t>
        </is>
      </c>
    </row>
    <row r="6">
      <c r="A6" s="29" t="n">
        <v>4</v>
      </c>
      <c r="B6" s="29" t="inlineStr">
        <is>
          <t>2024-11-11</t>
        </is>
      </c>
      <c r="C6" s="30" t="inlineStr">
        <is>
          <t>Nandini Patel</t>
        </is>
      </c>
      <c r="D6" s="29" t="inlineStr">
        <is>
          <t>West</t>
        </is>
      </c>
      <c r="E6" s="30" t="inlineStr">
        <is>
          <t>Nagpur</t>
        </is>
      </c>
      <c r="F6" s="30" t="inlineStr">
        <is>
          <t>Premium California Almonds 500g</t>
        </is>
      </c>
      <c r="G6" s="29" t="inlineStr">
        <is>
          <t>Groceries</t>
        </is>
      </c>
      <c r="H6" s="31" t="n">
        <v>1</v>
      </c>
      <c r="I6" s="16" t="n">
        <v>599</v>
      </c>
      <c r="J6" s="32" t="n">
        <v>0.05</v>
      </c>
      <c r="K6" s="16">
        <f>H6*I6</f>
        <v/>
      </c>
      <c r="L6" s="16">
        <f>K6*J6</f>
        <v/>
      </c>
      <c r="M6" s="16">
        <f>K6-L6</f>
        <v/>
      </c>
      <c r="N6" s="16" t="n">
        <v>380</v>
      </c>
      <c r="O6" s="16">
        <f>M6-N6</f>
        <v/>
      </c>
      <c r="P6" s="17">
        <f>IFERROR(O6/M6, 0)</f>
        <v/>
      </c>
      <c r="Q6" s="29" t="inlineStr">
        <is>
          <t>Cancelled</t>
        </is>
      </c>
    </row>
    <row r="7">
      <c r="A7" s="33" t="n">
        <v>4</v>
      </c>
      <c r="B7" s="33" t="inlineStr">
        <is>
          <t>2024-11-11</t>
        </is>
      </c>
      <c r="C7" s="34" t="inlineStr">
        <is>
          <t>Nandini Patel</t>
        </is>
      </c>
      <c r="D7" s="33" t="inlineStr">
        <is>
          <t>West</t>
        </is>
      </c>
      <c r="E7" s="34" t="inlineStr">
        <is>
          <t>Nagpur</t>
        </is>
      </c>
      <c r="F7" s="34" t="inlineStr">
        <is>
          <t>Stainless Steel Electric Kettle 1.8L</t>
        </is>
      </c>
      <c r="G7" s="33" t="inlineStr">
        <is>
          <t>Home &amp; Living</t>
        </is>
      </c>
      <c r="H7" s="35" t="n">
        <v>1</v>
      </c>
      <c r="I7" s="20" t="n">
        <v>1299</v>
      </c>
      <c r="J7" s="36" t="n">
        <v>0.1</v>
      </c>
      <c r="K7" s="20">
        <f>H7*I7</f>
        <v/>
      </c>
      <c r="L7" s="20">
        <f>K7*J7</f>
        <v/>
      </c>
      <c r="M7" s="20">
        <f>K7-L7</f>
        <v/>
      </c>
      <c r="N7" s="20" t="n">
        <v>720</v>
      </c>
      <c r="O7" s="20">
        <f>M7-N7</f>
        <v/>
      </c>
      <c r="P7" s="21">
        <f>IFERROR(O7/M7, 0)</f>
        <v/>
      </c>
      <c r="Q7" s="33" t="inlineStr">
        <is>
          <t>Cancelled</t>
        </is>
      </c>
    </row>
    <row r="8">
      <c r="A8" s="29" t="n">
        <v>4</v>
      </c>
      <c r="B8" s="29" t="inlineStr">
        <is>
          <t>2024-11-11</t>
        </is>
      </c>
      <c r="C8" s="30" t="inlineStr">
        <is>
          <t>Nandini Patel</t>
        </is>
      </c>
      <c r="D8" s="29" t="inlineStr">
        <is>
          <t>West</t>
        </is>
      </c>
      <c r="E8" s="30" t="inlineStr">
        <is>
          <t>Nagpur</t>
        </is>
      </c>
      <c r="F8" s="30" t="inlineStr">
        <is>
          <t>Multipurpose Desk Organizer Set</t>
        </is>
      </c>
      <c r="G8" s="29" t="inlineStr">
        <is>
          <t>Home &amp; Living</t>
        </is>
      </c>
      <c r="H8" s="31" t="n">
        <v>3</v>
      </c>
      <c r="I8" s="16" t="n">
        <v>699</v>
      </c>
      <c r="J8" s="32" t="n">
        <v>0.2</v>
      </c>
      <c r="K8" s="16">
        <f>H8*I8</f>
        <v/>
      </c>
      <c r="L8" s="16">
        <f>K8*J8</f>
        <v/>
      </c>
      <c r="M8" s="16">
        <f>K8-L8</f>
        <v/>
      </c>
      <c r="N8" s="16" t="n">
        <v>870</v>
      </c>
      <c r="O8" s="16">
        <f>M8-N8</f>
        <v/>
      </c>
      <c r="P8" s="17">
        <f>IFERROR(O8/M8, 0)</f>
        <v/>
      </c>
      <c r="Q8" s="29" t="inlineStr">
        <is>
          <t>Cancelled</t>
        </is>
      </c>
    </row>
    <row r="9">
      <c r="A9" s="33" t="n">
        <v>5</v>
      </c>
      <c r="B9" s="33" t="inlineStr">
        <is>
          <t>2025-08-03</t>
        </is>
      </c>
      <c r="C9" s="34" t="inlineStr">
        <is>
          <t>Kavita Nair</t>
        </is>
      </c>
      <c r="D9" s="33" t="inlineStr">
        <is>
          <t>West</t>
        </is>
      </c>
      <c r="E9" s="34" t="inlineStr">
        <is>
          <t>Pune</t>
        </is>
      </c>
      <c r="F9" s="34" t="inlineStr">
        <is>
          <t>Pure Raw Honey 500g</t>
        </is>
      </c>
      <c r="G9" s="33" t="inlineStr">
        <is>
          <t>Groceries</t>
        </is>
      </c>
      <c r="H9" s="35" t="n">
        <v>1</v>
      </c>
      <c r="I9" s="20" t="n">
        <v>399</v>
      </c>
      <c r="J9" s="36" t="n">
        <v>0.05</v>
      </c>
      <c r="K9" s="20">
        <f>H9*I9</f>
        <v/>
      </c>
      <c r="L9" s="20">
        <f>K9*J9</f>
        <v/>
      </c>
      <c r="M9" s="20">
        <f>K9-L9</f>
        <v/>
      </c>
      <c r="N9" s="20" t="n">
        <v>210</v>
      </c>
      <c r="O9" s="20">
        <f>M9-N9</f>
        <v/>
      </c>
      <c r="P9" s="21">
        <f>IFERROR(O9/M9, 0)</f>
        <v/>
      </c>
      <c r="Q9" s="33" t="inlineStr">
        <is>
          <t>Processing</t>
        </is>
      </c>
    </row>
    <row r="10">
      <c r="A10" s="29" t="n">
        <v>5</v>
      </c>
      <c r="B10" s="29" t="inlineStr">
        <is>
          <t>2025-08-03</t>
        </is>
      </c>
      <c r="C10" s="30" t="inlineStr">
        <is>
          <t>Kavita Nair</t>
        </is>
      </c>
      <c r="D10" s="29" t="inlineStr">
        <is>
          <t>West</t>
        </is>
      </c>
      <c r="E10" s="30" t="inlineStr">
        <is>
          <t>Pune</t>
        </is>
      </c>
      <c r="F10" s="30" t="inlineStr">
        <is>
          <t>Women Floral Embroidered Kurti</t>
        </is>
      </c>
      <c r="G10" s="29" t="inlineStr">
        <is>
          <t>Fashion</t>
        </is>
      </c>
      <c r="H10" s="31" t="n">
        <v>1</v>
      </c>
      <c r="I10" s="16" t="n">
        <v>1899</v>
      </c>
      <c r="J10" s="32" t="n">
        <v>0</v>
      </c>
      <c r="K10" s="16">
        <f>H10*I10</f>
        <v/>
      </c>
      <c r="L10" s="16">
        <f>K10*J10</f>
        <v/>
      </c>
      <c r="M10" s="16">
        <f>K10-L10</f>
        <v/>
      </c>
      <c r="N10" s="16" t="n">
        <v>800</v>
      </c>
      <c r="O10" s="16">
        <f>M10-N10</f>
        <v/>
      </c>
      <c r="P10" s="17">
        <f>IFERROR(O10/M10, 0)</f>
        <v/>
      </c>
      <c r="Q10" s="29" t="inlineStr">
        <is>
          <t>Processing</t>
        </is>
      </c>
    </row>
    <row r="11">
      <c r="A11" s="33" t="n">
        <v>6</v>
      </c>
      <c r="B11" s="33" t="inlineStr">
        <is>
          <t>2025-04-22</t>
        </is>
      </c>
      <c r="C11" s="34" t="inlineStr">
        <is>
          <t>Aarav Verma</t>
        </is>
      </c>
      <c r="D11" s="33" t="inlineStr">
        <is>
          <t>South</t>
        </is>
      </c>
      <c r="E11" s="34" t="inlineStr">
        <is>
          <t>Chennai</t>
        </is>
      </c>
      <c r="F11" s="34" t="inlineStr">
        <is>
          <t>Stainless Steel Electric Kettle 1.8L</t>
        </is>
      </c>
      <c r="G11" s="33" t="inlineStr">
        <is>
          <t>Home &amp; Living</t>
        </is>
      </c>
      <c r="H11" s="35" t="n">
        <v>1</v>
      </c>
      <c r="I11" s="20" t="n">
        <v>1299</v>
      </c>
      <c r="J11" s="36" t="n">
        <v>0.1</v>
      </c>
      <c r="K11" s="20">
        <f>H11*I11</f>
        <v/>
      </c>
      <c r="L11" s="20">
        <f>K11*J11</f>
        <v/>
      </c>
      <c r="M11" s="20">
        <f>K11-L11</f>
        <v/>
      </c>
      <c r="N11" s="20" t="n">
        <v>720</v>
      </c>
      <c r="O11" s="20">
        <f>M11-N11</f>
        <v/>
      </c>
      <c r="P11" s="21">
        <f>IFERROR(O11/M11, 0)</f>
        <v/>
      </c>
      <c r="Q11" s="33" t="inlineStr">
        <is>
          <t>Processing</t>
        </is>
      </c>
    </row>
    <row r="12">
      <c r="A12" s="29" t="n">
        <v>6</v>
      </c>
      <c r="B12" s="29" t="inlineStr">
        <is>
          <t>2025-04-22</t>
        </is>
      </c>
      <c r="C12" s="30" t="inlineStr">
        <is>
          <t>Aarav Verma</t>
        </is>
      </c>
      <c r="D12" s="29" t="inlineStr">
        <is>
          <t>South</t>
        </is>
      </c>
      <c r="E12" s="30" t="inlineStr">
        <is>
          <t>Chennai</t>
        </is>
      </c>
      <c r="F12" s="30" t="inlineStr">
        <is>
          <t>Skipping Rope with Digital Counter</t>
        </is>
      </c>
      <c r="G12" s="29" t="inlineStr">
        <is>
          <t>Sports</t>
        </is>
      </c>
      <c r="H12" s="31" t="n">
        <v>3</v>
      </c>
      <c r="I12" s="16" t="n">
        <v>499</v>
      </c>
      <c r="J12" s="32" t="n">
        <v>0.12</v>
      </c>
      <c r="K12" s="16">
        <f>H12*I12</f>
        <v/>
      </c>
      <c r="L12" s="16">
        <f>K12*J12</f>
        <v/>
      </c>
      <c r="M12" s="16">
        <f>K12-L12</f>
        <v/>
      </c>
      <c r="N12" s="16" t="n">
        <v>630</v>
      </c>
      <c r="O12" s="16">
        <f>M12-N12</f>
        <v/>
      </c>
      <c r="P12" s="17">
        <f>IFERROR(O12/M12, 0)</f>
        <v/>
      </c>
      <c r="Q12" s="29" t="inlineStr">
        <is>
          <t>Processing</t>
        </is>
      </c>
    </row>
    <row r="13">
      <c r="A13" s="33" t="n">
        <v>7</v>
      </c>
      <c r="B13" s="33" t="inlineStr">
        <is>
          <t>2024-11-14</t>
        </is>
      </c>
      <c r="C13" s="34" t="inlineStr">
        <is>
          <t>Harsh Singh</t>
        </is>
      </c>
      <c r="D13" s="33" t="inlineStr">
        <is>
          <t>West</t>
        </is>
      </c>
      <c r="E13" s="34" t="inlineStr">
        <is>
          <t>Ahmedabad</t>
        </is>
      </c>
      <c r="F13" s="34" t="inlineStr">
        <is>
          <t>Adjustable Dumbbell Set 20kg</t>
        </is>
      </c>
      <c r="G13" s="33" t="inlineStr">
        <is>
          <t>Sports</t>
        </is>
      </c>
      <c r="H13" s="35" t="n">
        <v>1</v>
      </c>
      <c r="I13" s="20" t="n">
        <v>4299</v>
      </c>
      <c r="J13" s="36" t="n">
        <v>0.1</v>
      </c>
      <c r="K13" s="20">
        <f>H13*I13</f>
        <v/>
      </c>
      <c r="L13" s="20">
        <f>K13*J13</f>
        <v/>
      </c>
      <c r="M13" s="20">
        <f>K13-L13</f>
        <v/>
      </c>
      <c r="N13" s="20" t="n">
        <v>2600</v>
      </c>
      <c r="O13" s="20">
        <f>M13-N13</f>
        <v/>
      </c>
      <c r="P13" s="21">
        <f>IFERROR(O13/M13, 0)</f>
        <v/>
      </c>
      <c r="Q13" s="33" t="inlineStr">
        <is>
          <t>Delivered</t>
        </is>
      </c>
    </row>
    <row r="14">
      <c r="A14" s="29" t="n">
        <v>7</v>
      </c>
      <c r="B14" s="29" t="inlineStr">
        <is>
          <t>2024-11-14</t>
        </is>
      </c>
      <c r="C14" s="30" t="inlineStr">
        <is>
          <t>Harsh Singh</t>
        </is>
      </c>
      <c r="D14" s="29" t="inlineStr">
        <is>
          <t>West</t>
        </is>
      </c>
      <c r="E14" s="30" t="inlineStr">
        <is>
          <t>Ahmedabad</t>
        </is>
      </c>
      <c r="F14" s="30" t="inlineStr">
        <is>
          <t>Ultra HD Smart LED TV 55-inch</t>
        </is>
      </c>
      <c r="G14" s="29" t="inlineStr">
        <is>
          <t>Electronics</t>
        </is>
      </c>
      <c r="H14" s="31" t="n">
        <v>1</v>
      </c>
      <c r="I14" s="16" t="n">
        <v>42999</v>
      </c>
      <c r="J14" s="32" t="n">
        <v>0.1</v>
      </c>
      <c r="K14" s="16">
        <f>H14*I14</f>
        <v/>
      </c>
      <c r="L14" s="16">
        <f>K14*J14</f>
        <v/>
      </c>
      <c r="M14" s="16">
        <f>K14-L14</f>
        <v/>
      </c>
      <c r="N14" s="16" t="n">
        <v>31000</v>
      </c>
      <c r="O14" s="16">
        <f>M14-N14</f>
        <v/>
      </c>
      <c r="P14" s="17">
        <f>IFERROR(O14/M14, 0)</f>
        <v/>
      </c>
      <c r="Q14" s="29" t="inlineStr">
        <is>
          <t>Delivered</t>
        </is>
      </c>
    </row>
    <row r="15">
      <c r="A15" s="33" t="n">
        <v>8</v>
      </c>
      <c r="B15" s="33" t="inlineStr">
        <is>
          <t>2024-11-26</t>
        </is>
      </c>
      <c r="C15" s="34" t="inlineStr">
        <is>
          <t>Vidya Verma</t>
        </is>
      </c>
      <c r="D15" s="33" t="inlineStr">
        <is>
          <t>East</t>
        </is>
      </c>
      <c r="E15" s="34" t="inlineStr">
        <is>
          <t>Ranchi</t>
        </is>
      </c>
      <c r="F15" s="34" t="inlineStr">
        <is>
          <t>Men Slim-Fit Cotton Casual Shirt</t>
        </is>
      </c>
      <c r="G15" s="33" t="inlineStr">
        <is>
          <t>Fashion</t>
        </is>
      </c>
      <c r="H15" s="35" t="n">
        <v>1</v>
      </c>
      <c r="I15" s="20" t="n">
        <v>1499</v>
      </c>
      <c r="J15" s="36" t="n">
        <v>0.05</v>
      </c>
      <c r="K15" s="20">
        <f>H15*I15</f>
        <v/>
      </c>
      <c r="L15" s="20">
        <f>K15*J15</f>
        <v/>
      </c>
      <c r="M15" s="20">
        <f>K15-L15</f>
        <v/>
      </c>
      <c r="N15" s="20" t="n">
        <v>650</v>
      </c>
      <c r="O15" s="20">
        <f>M15-N15</f>
        <v/>
      </c>
      <c r="P15" s="21">
        <f>IFERROR(O15/M15, 0)</f>
        <v/>
      </c>
      <c r="Q15" s="33" t="inlineStr">
        <is>
          <t>Delivered</t>
        </is>
      </c>
    </row>
    <row r="16">
      <c r="A16" s="29" t="n">
        <v>9</v>
      </c>
      <c r="B16" s="29" t="inlineStr">
        <is>
          <t>2025-03-23</t>
        </is>
      </c>
      <c r="C16" s="30" t="inlineStr">
        <is>
          <t>Harsh Iyer</t>
        </is>
      </c>
      <c r="D16" s="29" t="inlineStr">
        <is>
          <t>North</t>
        </is>
      </c>
      <c r="E16" s="30" t="inlineStr">
        <is>
          <t>Lucknow</t>
        </is>
      </c>
      <c r="F16" s="30" t="inlineStr">
        <is>
          <t>Double Bed Pure Cotton Bedsheet</t>
        </is>
      </c>
      <c r="G16" s="29" t="inlineStr">
        <is>
          <t>Home &amp; Living</t>
        </is>
      </c>
      <c r="H16" s="31" t="n">
        <v>1</v>
      </c>
      <c r="I16" s="16" t="n">
        <v>1599</v>
      </c>
      <c r="J16" s="32" t="n">
        <v>0.12</v>
      </c>
      <c r="K16" s="16">
        <f>H16*I16</f>
        <v/>
      </c>
      <c r="L16" s="16">
        <f>K16*J16</f>
        <v/>
      </c>
      <c r="M16" s="16">
        <f>K16-L16</f>
        <v/>
      </c>
      <c r="N16" s="16" t="n">
        <v>780</v>
      </c>
      <c r="O16" s="16">
        <f>M16-N16</f>
        <v/>
      </c>
      <c r="P16" s="17">
        <f>IFERROR(O16/M16, 0)</f>
        <v/>
      </c>
      <c r="Q16" s="29" t="inlineStr">
        <is>
          <t>Cancelled</t>
        </is>
      </c>
    </row>
    <row r="17">
      <c r="A17" s="33" t="n">
        <v>9</v>
      </c>
      <c r="B17" s="33" t="inlineStr">
        <is>
          <t>2025-03-23</t>
        </is>
      </c>
      <c r="C17" s="34" t="inlineStr">
        <is>
          <t>Harsh Iyer</t>
        </is>
      </c>
      <c r="D17" s="33" t="inlineStr">
        <is>
          <t>North</t>
        </is>
      </c>
      <c r="E17" s="34" t="inlineStr">
        <is>
          <t>Lucknow</t>
        </is>
      </c>
      <c r="F17" s="34" t="inlineStr">
        <is>
          <t>Unisex Classic Denim Jeans</t>
        </is>
      </c>
      <c r="G17" s="33" t="inlineStr">
        <is>
          <t>Fashion</t>
        </is>
      </c>
      <c r="H17" s="35" t="n">
        <v>1</v>
      </c>
      <c r="I17" s="20" t="n">
        <v>2499</v>
      </c>
      <c r="J17" s="36" t="n">
        <v>0.05</v>
      </c>
      <c r="K17" s="20">
        <f>H17*I17</f>
        <v/>
      </c>
      <c r="L17" s="20">
        <f>K17*J17</f>
        <v/>
      </c>
      <c r="M17" s="20">
        <f>K17-L17</f>
        <v/>
      </c>
      <c r="N17" s="20" t="n">
        <v>1100</v>
      </c>
      <c r="O17" s="20">
        <f>M17-N17</f>
        <v/>
      </c>
      <c r="P17" s="21">
        <f>IFERROR(O17/M17, 0)</f>
        <v/>
      </c>
      <c r="Q17" s="33" t="inlineStr">
        <is>
          <t>Cancelled</t>
        </is>
      </c>
    </row>
    <row r="18">
      <c r="A18" s="29" t="n">
        <v>9</v>
      </c>
      <c r="B18" s="29" t="inlineStr">
        <is>
          <t>2025-03-23</t>
        </is>
      </c>
      <c r="C18" s="30" t="inlineStr">
        <is>
          <t>Harsh Iyer</t>
        </is>
      </c>
      <c r="D18" s="29" t="inlineStr">
        <is>
          <t>North</t>
        </is>
      </c>
      <c r="E18" s="30" t="inlineStr">
        <is>
          <t>Lucknow</t>
        </is>
      </c>
      <c r="F18" s="30" t="inlineStr">
        <is>
          <t>Mechanical Gaming Keyboard</t>
        </is>
      </c>
      <c r="G18" s="29" t="inlineStr">
        <is>
          <t>Electronics</t>
        </is>
      </c>
      <c r="H18" s="31" t="n">
        <v>1</v>
      </c>
      <c r="I18" s="16" t="n">
        <v>3299</v>
      </c>
      <c r="J18" s="32" t="n">
        <v>0</v>
      </c>
      <c r="K18" s="16">
        <f>H18*I18</f>
        <v/>
      </c>
      <c r="L18" s="16">
        <f>K18*J18</f>
        <v/>
      </c>
      <c r="M18" s="16">
        <f>K18-L18</f>
        <v/>
      </c>
      <c r="N18" s="16" t="n">
        <v>2100</v>
      </c>
      <c r="O18" s="16">
        <f>M18-N18</f>
        <v/>
      </c>
      <c r="P18" s="17">
        <f>IFERROR(O18/M18, 0)</f>
        <v/>
      </c>
      <c r="Q18" s="29" t="inlineStr">
        <is>
          <t>Cancelled</t>
        </is>
      </c>
    </row>
    <row r="19">
      <c r="A19" s="33" t="n">
        <v>9</v>
      </c>
      <c r="B19" s="33" t="inlineStr">
        <is>
          <t>2025-03-23</t>
        </is>
      </c>
      <c r="C19" s="34" t="inlineStr">
        <is>
          <t>Harsh Iyer</t>
        </is>
      </c>
      <c r="D19" s="33" t="inlineStr">
        <is>
          <t>North</t>
        </is>
      </c>
      <c r="E19" s="34" t="inlineStr">
        <is>
          <t>Lucknow</t>
        </is>
      </c>
      <c r="F19" s="34" t="inlineStr">
        <is>
          <t>Multipurpose Desk Organizer Set</t>
        </is>
      </c>
      <c r="G19" s="33" t="inlineStr">
        <is>
          <t>Home &amp; Living</t>
        </is>
      </c>
      <c r="H19" s="35" t="n">
        <v>2</v>
      </c>
      <c r="I19" s="20" t="n">
        <v>699</v>
      </c>
      <c r="J19" s="36" t="n">
        <v>0.15</v>
      </c>
      <c r="K19" s="20">
        <f>H19*I19</f>
        <v/>
      </c>
      <c r="L19" s="20">
        <f>K19*J19</f>
        <v/>
      </c>
      <c r="M19" s="20">
        <f>K19-L19</f>
        <v/>
      </c>
      <c r="N19" s="20" t="n">
        <v>580</v>
      </c>
      <c r="O19" s="20">
        <f>M19-N19</f>
        <v/>
      </c>
      <c r="P19" s="21">
        <f>IFERROR(O19/M19, 0)</f>
        <v/>
      </c>
      <c r="Q19" s="33" t="inlineStr">
        <is>
          <t>Cancelled</t>
        </is>
      </c>
    </row>
    <row r="20">
      <c r="A20" s="29" t="n">
        <v>10</v>
      </c>
      <c r="B20" s="29" t="inlineStr">
        <is>
          <t>2024-11-16</t>
        </is>
      </c>
      <c r="C20" s="30" t="inlineStr">
        <is>
          <t>Aarav Rao</t>
        </is>
      </c>
      <c r="D20" s="29" t="inlineStr">
        <is>
          <t>East</t>
        </is>
      </c>
      <c r="E20" s="30" t="inlineStr">
        <is>
          <t>Patna</t>
        </is>
      </c>
      <c r="F20" s="30" t="inlineStr">
        <is>
          <t>Ultra HD Smart LED TV 55-inch</t>
        </is>
      </c>
      <c r="G20" s="29" t="inlineStr">
        <is>
          <t>Electronics</t>
        </is>
      </c>
      <c r="H20" s="31" t="n">
        <v>2</v>
      </c>
      <c r="I20" s="16" t="n">
        <v>42999</v>
      </c>
      <c r="J20" s="32" t="n">
        <v>0</v>
      </c>
      <c r="K20" s="16">
        <f>H20*I20</f>
        <v/>
      </c>
      <c r="L20" s="16">
        <f>K20*J20</f>
        <v/>
      </c>
      <c r="M20" s="16">
        <f>K20-L20</f>
        <v/>
      </c>
      <c r="N20" s="16" t="n">
        <v>62000</v>
      </c>
      <c r="O20" s="16">
        <f>M20-N20</f>
        <v/>
      </c>
      <c r="P20" s="17">
        <f>IFERROR(O20/M20, 0)</f>
        <v/>
      </c>
      <c r="Q20" s="29" t="inlineStr">
        <is>
          <t>Delivered</t>
        </is>
      </c>
    </row>
    <row r="21">
      <c r="A21" s="33" t="n">
        <v>11</v>
      </c>
      <c r="B21" s="33" t="inlineStr">
        <is>
          <t>2025-07-01</t>
        </is>
      </c>
      <c r="C21" s="34" t="inlineStr">
        <is>
          <t>Manoj Patel</t>
        </is>
      </c>
      <c r="D21" s="33" t="inlineStr">
        <is>
          <t>West</t>
        </is>
      </c>
      <c r="E21" s="34" t="inlineStr">
        <is>
          <t>Surat</t>
        </is>
      </c>
      <c r="F21" s="34" t="inlineStr">
        <is>
          <t>Men Slim-Fit Cotton Casual Shirt</t>
        </is>
      </c>
      <c r="G21" s="33" t="inlineStr">
        <is>
          <t>Fashion</t>
        </is>
      </c>
      <c r="H21" s="35" t="n">
        <v>1</v>
      </c>
      <c r="I21" s="20" t="n">
        <v>1499</v>
      </c>
      <c r="J21" s="36" t="n">
        <v>0.05</v>
      </c>
      <c r="K21" s="20">
        <f>H21*I21</f>
        <v/>
      </c>
      <c r="L21" s="20">
        <f>K21*J21</f>
        <v/>
      </c>
      <c r="M21" s="20">
        <f>K21-L21</f>
        <v/>
      </c>
      <c r="N21" s="20" t="n">
        <v>650</v>
      </c>
      <c r="O21" s="20">
        <f>M21-N21</f>
        <v/>
      </c>
      <c r="P21" s="21">
        <f>IFERROR(O21/M21, 0)</f>
        <v/>
      </c>
      <c r="Q21" s="33" t="inlineStr">
        <is>
          <t>Processing</t>
        </is>
      </c>
    </row>
    <row r="22">
      <c r="A22" s="29" t="n">
        <v>12</v>
      </c>
      <c r="B22" s="29" t="inlineStr">
        <is>
          <t>2025-01-25</t>
        </is>
      </c>
      <c r="C22" s="30" t="inlineStr">
        <is>
          <t>Meera Bhat</t>
        </is>
      </c>
      <c r="D22" s="29" t="inlineStr">
        <is>
          <t>South</t>
        </is>
      </c>
      <c r="E22" s="30" t="inlineStr">
        <is>
          <t>Bengaluru</t>
        </is>
      </c>
      <c r="F22" s="30" t="inlineStr">
        <is>
          <t>Skipping Rope with Digital Counter</t>
        </is>
      </c>
      <c r="G22" s="29" t="inlineStr">
        <is>
          <t>Sports</t>
        </is>
      </c>
      <c r="H22" s="31" t="n">
        <v>1</v>
      </c>
      <c r="I22" s="16" t="n">
        <v>499</v>
      </c>
      <c r="J22" s="32" t="n">
        <v>0.2</v>
      </c>
      <c r="K22" s="16">
        <f>H22*I22</f>
        <v/>
      </c>
      <c r="L22" s="16">
        <f>K22*J22</f>
        <v/>
      </c>
      <c r="M22" s="16">
        <f>K22-L22</f>
        <v/>
      </c>
      <c r="N22" s="16" t="n">
        <v>210</v>
      </c>
      <c r="O22" s="16">
        <f>M22-N22</f>
        <v/>
      </c>
      <c r="P22" s="17">
        <f>IFERROR(O22/M22, 0)</f>
        <v/>
      </c>
      <c r="Q22" s="29" t="inlineStr">
        <is>
          <t>Shipped</t>
        </is>
      </c>
    </row>
    <row r="23">
      <c r="A23" s="33" t="n">
        <v>12</v>
      </c>
      <c r="B23" s="33" t="inlineStr">
        <is>
          <t>2025-01-25</t>
        </is>
      </c>
      <c r="C23" s="34" t="inlineStr">
        <is>
          <t>Meera Bhat</t>
        </is>
      </c>
      <c r="D23" s="33" t="inlineStr">
        <is>
          <t>South</t>
        </is>
      </c>
      <c r="E23" s="34" t="inlineStr">
        <is>
          <t>Bengaluru</t>
        </is>
      </c>
      <c r="F23" s="34" t="inlineStr">
        <is>
          <t>Insulated Stainless Steel Sipper Bottle</t>
        </is>
      </c>
      <c r="G23" s="33" t="inlineStr">
        <is>
          <t>Sports</t>
        </is>
      </c>
      <c r="H23" s="35" t="n">
        <v>1</v>
      </c>
      <c r="I23" s="20" t="n">
        <v>799</v>
      </c>
      <c r="J23" s="36" t="n">
        <v>0.05</v>
      </c>
      <c r="K23" s="20">
        <f>H23*I23</f>
        <v/>
      </c>
      <c r="L23" s="20">
        <f>K23*J23</f>
        <v/>
      </c>
      <c r="M23" s="20">
        <f>K23-L23</f>
        <v/>
      </c>
      <c r="N23" s="20" t="n">
        <v>390</v>
      </c>
      <c r="O23" s="20">
        <f>M23-N23</f>
        <v/>
      </c>
      <c r="P23" s="21">
        <f>IFERROR(O23/M23, 0)</f>
        <v/>
      </c>
      <c r="Q23" s="33" t="inlineStr">
        <is>
          <t>Shipped</t>
        </is>
      </c>
    </row>
    <row r="24">
      <c r="A24" s="29" t="n">
        <v>13</v>
      </c>
      <c r="B24" s="29" t="inlineStr">
        <is>
          <t>2025-08-24</t>
        </is>
      </c>
      <c r="C24" s="30" t="inlineStr">
        <is>
          <t>Sunil Nair</t>
        </is>
      </c>
      <c r="D24" s="29" t="inlineStr">
        <is>
          <t>West</t>
        </is>
      </c>
      <c r="E24" s="30" t="inlineStr">
        <is>
          <t>Mumbai</t>
        </is>
      </c>
      <c r="F24" s="30" t="inlineStr">
        <is>
          <t>Premium California Almonds 500g</t>
        </is>
      </c>
      <c r="G24" s="29" t="inlineStr">
        <is>
          <t>Groceries</t>
        </is>
      </c>
      <c r="H24" s="31" t="n">
        <v>1</v>
      </c>
      <c r="I24" s="16" t="n">
        <v>599</v>
      </c>
      <c r="J24" s="32" t="n">
        <v>0.15</v>
      </c>
      <c r="K24" s="16">
        <f>H24*I24</f>
        <v/>
      </c>
      <c r="L24" s="16">
        <f>K24*J24</f>
        <v/>
      </c>
      <c r="M24" s="16">
        <f>K24-L24</f>
        <v/>
      </c>
      <c r="N24" s="16" t="n">
        <v>380</v>
      </c>
      <c r="O24" s="16">
        <f>M24-N24</f>
        <v/>
      </c>
      <c r="P24" s="17">
        <f>IFERROR(O24/M24, 0)</f>
        <v/>
      </c>
      <c r="Q24" s="29" t="inlineStr">
        <is>
          <t>Delivered</t>
        </is>
      </c>
    </row>
    <row r="25">
      <c r="A25" s="33" t="n">
        <v>13</v>
      </c>
      <c r="B25" s="33" t="inlineStr">
        <is>
          <t>2025-08-24</t>
        </is>
      </c>
      <c r="C25" s="34" t="inlineStr">
        <is>
          <t>Sunil Nair</t>
        </is>
      </c>
      <c r="D25" s="33" t="inlineStr">
        <is>
          <t>West</t>
        </is>
      </c>
      <c r="E25" s="34" t="inlineStr">
        <is>
          <t>Mumbai</t>
        </is>
      </c>
      <c r="F25" s="34" t="inlineStr">
        <is>
          <t>Adjustable Dumbbell Set 20kg</t>
        </is>
      </c>
      <c r="G25" s="33" t="inlineStr">
        <is>
          <t>Sports</t>
        </is>
      </c>
      <c r="H25" s="35" t="n">
        <v>1</v>
      </c>
      <c r="I25" s="20" t="n">
        <v>4299</v>
      </c>
      <c r="J25" s="36" t="n">
        <v>0.12</v>
      </c>
      <c r="K25" s="20">
        <f>H25*I25</f>
        <v/>
      </c>
      <c r="L25" s="20">
        <f>K25*J25</f>
        <v/>
      </c>
      <c r="M25" s="20">
        <f>K25-L25</f>
        <v/>
      </c>
      <c r="N25" s="20" t="n">
        <v>2600</v>
      </c>
      <c r="O25" s="20">
        <f>M25-N25</f>
        <v/>
      </c>
      <c r="P25" s="21">
        <f>IFERROR(O25/M25, 0)</f>
        <v/>
      </c>
      <c r="Q25" s="33" t="inlineStr">
        <is>
          <t>Delivered</t>
        </is>
      </c>
    </row>
    <row r="26">
      <c r="A26" s="29" t="n">
        <v>13</v>
      </c>
      <c r="B26" s="29" t="inlineStr">
        <is>
          <t>2025-08-24</t>
        </is>
      </c>
      <c r="C26" s="30" t="inlineStr">
        <is>
          <t>Sunil Nair</t>
        </is>
      </c>
      <c r="D26" s="29" t="inlineStr">
        <is>
          <t>West</t>
        </is>
      </c>
      <c r="E26" s="30" t="inlineStr">
        <is>
          <t>Mumbai</t>
        </is>
      </c>
      <c r="F26" s="30" t="inlineStr">
        <is>
          <t>Stainless Steel Electric Kettle 1.8L</t>
        </is>
      </c>
      <c r="G26" s="29" t="inlineStr">
        <is>
          <t>Home &amp; Living</t>
        </is>
      </c>
      <c r="H26" s="31" t="n">
        <v>2</v>
      </c>
      <c r="I26" s="16" t="n">
        <v>1299</v>
      </c>
      <c r="J26" s="32" t="n">
        <v>0.15</v>
      </c>
      <c r="K26" s="16">
        <f>H26*I26</f>
        <v/>
      </c>
      <c r="L26" s="16">
        <f>K26*J26</f>
        <v/>
      </c>
      <c r="M26" s="16">
        <f>K26-L26</f>
        <v/>
      </c>
      <c r="N26" s="16" t="n">
        <v>1440</v>
      </c>
      <c r="O26" s="16">
        <f>M26-N26</f>
        <v/>
      </c>
      <c r="P26" s="17">
        <f>IFERROR(O26/M26, 0)</f>
        <v/>
      </c>
      <c r="Q26" s="29" t="inlineStr">
        <is>
          <t>Delivered</t>
        </is>
      </c>
    </row>
    <row r="27">
      <c r="A27" s="33" t="n">
        <v>14</v>
      </c>
      <c r="B27" s="33" t="inlineStr">
        <is>
          <t>2024-12-23</t>
        </is>
      </c>
      <c r="C27" s="34" t="inlineStr">
        <is>
          <t>Shreya Patel</t>
        </is>
      </c>
      <c r="D27" s="33" t="inlineStr">
        <is>
          <t>South</t>
        </is>
      </c>
      <c r="E27" s="34" t="inlineStr">
        <is>
          <t>Coimbatore</t>
        </is>
      </c>
      <c r="F27" s="34" t="inlineStr">
        <is>
          <t>Adjustable Dumbbell Set 20kg</t>
        </is>
      </c>
      <c r="G27" s="33" t="inlineStr">
        <is>
          <t>Sports</t>
        </is>
      </c>
      <c r="H27" s="35" t="n">
        <v>2</v>
      </c>
      <c r="I27" s="20" t="n">
        <v>4299</v>
      </c>
      <c r="J27" s="36" t="n">
        <v>0.2</v>
      </c>
      <c r="K27" s="20">
        <f>H27*I27</f>
        <v/>
      </c>
      <c r="L27" s="20">
        <f>K27*J27</f>
        <v/>
      </c>
      <c r="M27" s="20">
        <f>K27-L27</f>
        <v/>
      </c>
      <c r="N27" s="20" t="n">
        <v>5200</v>
      </c>
      <c r="O27" s="20">
        <f>M27-N27</f>
        <v/>
      </c>
      <c r="P27" s="21">
        <f>IFERROR(O27/M27, 0)</f>
        <v/>
      </c>
      <c r="Q27" s="33" t="inlineStr">
        <is>
          <t>Processing</t>
        </is>
      </c>
    </row>
    <row r="28">
      <c r="A28" s="29" t="n">
        <v>14</v>
      </c>
      <c r="B28" s="29" t="inlineStr">
        <is>
          <t>2024-12-23</t>
        </is>
      </c>
      <c r="C28" s="30" t="inlineStr">
        <is>
          <t>Shreya Patel</t>
        </is>
      </c>
      <c r="D28" s="29" t="inlineStr">
        <is>
          <t>South</t>
        </is>
      </c>
      <c r="E28" s="30" t="inlineStr">
        <is>
          <t>Coimbatore</t>
        </is>
      </c>
      <c r="F28" s="30" t="inlineStr">
        <is>
          <t>Pure Raw Honey 500g</t>
        </is>
      </c>
      <c r="G28" s="29" t="inlineStr">
        <is>
          <t>Groceries</t>
        </is>
      </c>
      <c r="H28" s="31" t="n">
        <v>5</v>
      </c>
      <c r="I28" s="16" t="n">
        <v>399</v>
      </c>
      <c r="J28" s="32" t="n">
        <v>0.2</v>
      </c>
      <c r="K28" s="16">
        <f>H28*I28</f>
        <v/>
      </c>
      <c r="L28" s="16">
        <f>K28*J28</f>
        <v/>
      </c>
      <c r="M28" s="16">
        <f>K28-L28</f>
        <v/>
      </c>
      <c r="N28" s="16" t="n">
        <v>1050</v>
      </c>
      <c r="O28" s="16">
        <f>M28-N28</f>
        <v/>
      </c>
      <c r="P28" s="17">
        <f>IFERROR(O28/M28, 0)</f>
        <v/>
      </c>
      <c r="Q28" s="29" t="inlineStr">
        <is>
          <t>Processing</t>
        </is>
      </c>
    </row>
    <row r="29">
      <c r="A29" s="33" t="n">
        <v>15</v>
      </c>
      <c r="B29" s="33" t="inlineStr">
        <is>
          <t>2025-04-27</t>
        </is>
      </c>
      <c r="C29" s="34" t="inlineStr">
        <is>
          <t>Aarav Rao</t>
        </is>
      </c>
      <c r="D29" s="33" t="inlineStr">
        <is>
          <t>East</t>
        </is>
      </c>
      <c r="E29" s="34" t="inlineStr">
        <is>
          <t>Patna</t>
        </is>
      </c>
      <c r="F29" s="34" t="inlineStr">
        <is>
          <t>Orthopedic Memory Foam Pillow</t>
        </is>
      </c>
      <c r="G29" s="33" t="inlineStr">
        <is>
          <t>Home &amp; Living</t>
        </is>
      </c>
      <c r="H29" s="35" t="n">
        <v>1</v>
      </c>
      <c r="I29" s="20" t="n">
        <v>1799</v>
      </c>
      <c r="J29" s="36" t="n">
        <v>0.15</v>
      </c>
      <c r="K29" s="20">
        <f>H29*I29</f>
        <v/>
      </c>
      <c r="L29" s="20">
        <f>K29*J29</f>
        <v/>
      </c>
      <c r="M29" s="20">
        <f>K29-L29</f>
        <v/>
      </c>
      <c r="N29" s="20" t="n">
        <v>950</v>
      </c>
      <c r="O29" s="20">
        <f>M29-N29</f>
        <v/>
      </c>
      <c r="P29" s="21">
        <f>IFERROR(O29/M29, 0)</f>
        <v/>
      </c>
      <c r="Q29" s="33" t="inlineStr">
        <is>
          <t>Shipped</t>
        </is>
      </c>
    </row>
    <row r="30">
      <c r="A30" s="29" t="n">
        <v>16</v>
      </c>
      <c r="B30" s="29" t="inlineStr">
        <is>
          <t>2024-11-07</t>
        </is>
      </c>
      <c r="C30" s="30" t="inlineStr">
        <is>
          <t>Rajesh Joshi</t>
        </is>
      </c>
      <c r="D30" s="29" t="inlineStr">
        <is>
          <t>West</t>
        </is>
      </c>
      <c r="E30" s="30" t="inlineStr">
        <is>
          <t>Surat</t>
        </is>
      </c>
      <c r="F30" s="30" t="inlineStr">
        <is>
          <t>Multipurpose Desk Organizer Set</t>
        </is>
      </c>
      <c r="G30" s="29" t="inlineStr">
        <is>
          <t>Home &amp; Living</t>
        </is>
      </c>
      <c r="H30" s="31" t="n">
        <v>1</v>
      </c>
      <c r="I30" s="16" t="n">
        <v>699</v>
      </c>
      <c r="J30" s="32" t="n">
        <v>0.05</v>
      </c>
      <c r="K30" s="16">
        <f>H30*I30</f>
        <v/>
      </c>
      <c r="L30" s="16">
        <f>K30*J30</f>
        <v/>
      </c>
      <c r="M30" s="16">
        <f>K30-L30</f>
        <v/>
      </c>
      <c r="N30" s="16" t="n">
        <v>290</v>
      </c>
      <c r="O30" s="16">
        <f>M30-N30</f>
        <v/>
      </c>
      <c r="P30" s="17">
        <f>IFERROR(O30/M30, 0)</f>
        <v/>
      </c>
      <c r="Q30" s="29" t="inlineStr">
        <is>
          <t>Cancelled</t>
        </is>
      </c>
    </row>
    <row r="31">
      <c r="A31" s="33" t="n">
        <v>17</v>
      </c>
      <c r="B31" s="33" t="inlineStr">
        <is>
          <t>2025-06-24</t>
        </is>
      </c>
      <c r="C31" s="34" t="inlineStr">
        <is>
          <t>Manoj Nair</t>
        </is>
      </c>
      <c r="D31" s="33" t="inlineStr">
        <is>
          <t>East</t>
        </is>
      </c>
      <c r="E31" s="34" t="inlineStr">
        <is>
          <t>Patna</t>
        </is>
      </c>
      <c r="F31" s="34" t="inlineStr">
        <is>
          <t>Fast Charging Power Bank 20000mAh</t>
        </is>
      </c>
      <c r="G31" s="33" t="inlineStr">
        <is>
          <t>Electronics</t>
        </is>
      </c>
      <c r="H31" s="35" t="n">
        <v>2</v>
      </c>
      <c r="I31" s="20" t="n">
        <v>1899</v>
      </c>
      <c r="J31" s="36" t="n">
        <v>0.15</v>
      </c>
      <c r="K31" s="20">
        <f>H31*I31</f>
        <v/>
      </c>
      <c r="L31" s="20">
        <f>K31*J31</f>
        <v/>
      </c>
      <c r="M31" s="20">
        <f>K31-L31</f>
        <v/>
      </c>
      <c r="N31" s="20" t="n">
        <v>2300</v>
      </c>
      <c r="O31" s="20">
        <f>M31-N31</f>
        <v/>
      </c>
      <c r="P31" s="21">
        <f>IFERROR(O31/M31, 0)</f>
        <v/>
      </c>
      <c r="Q31" s="33" t="inlineStr">
        <is>
          <t>Processing</t>
        </is>
      </c>
    </row>
    <row r="32">
      <c r="A32" s="29" t="n">
        <v>18</v>
      </c>
      <c r="B32" s="29" t="inlineStr">
        <is>
          <t>2025-09-12</t>
        </is>
      </c>
      <c r="C32" s="30" t="inlineStr">
        <is>
          <t>Alok Kulkarni</t>
        </is>
      </c>
      <c r="D32" s="29" t="inlineStr">
        <is>
          <t>East</t>
        </is>
      </c>
      <c r="E32" s="30" t="inlineStr">
        <is>
          <t>Bhubaneswar</t>
        </is>
      </c>
      <c r="F32" s="30" t="inlineStr">
        <is>
          <t>Multipurpose Desk Organizer Set</t>
        </is>
      </c>
      <c r="G32" s="29" t="inlineStr">
        <is>
          <t>Home &amp; Living</t>
        </is>
      </c>
      <c r="H32" s="31" t="n">
        <v>2</v>
      </c>
      <c r="I32" s="16" t="n">
        <v>699</v>
      </c>
      <c r="J32" s="32" t="n">
        <v>0.12</v>
      </c>
      <c r="K32" s="16">
        <f>H32*I32</f>
        <v/>
      </c>
      <c r="L32" s="16">
        <f>K32*J32</f>
        <v/>
      </c>
      <c r="M32" s="16">
        <f>K32-L32</f>
        <v/>
      </c>
      <c r="N32" s="16" t="n">
        <v>580</v>
      </c>
      <c r="O32" s="16">
        <f>M32-N32</f>
        <v/>
      </c>
      <c r="P32" s="17">
        <f>IFERROR(O32/M32, 0)</f>
        <v/>
      </c>
      <c r="Q32" s="29" t="inlineStr">
        <is>
          <t>Cancelled</t>
        </is>
      </c>
    </row>
    <row r="33">
      <c r="A33" s="33" t="n">
        <v>18</v>
      </c>
      <c r="B33" s="33" t="inlineStr">
        <is>
          <t>2025-09-12</t>
        </is>
      </c>
      <c r="C33" s="34" t="inlineStr">
        <is>
          <t>Alok Kulkarni</t>
        </is>
      </c>
      <c r="D33" s="33" t="inlineStr">
        <is>
          <t>East</t>
        </is>
      </c>
      <c r="E33" s="34" t="inlineStr">
        <is>
          <t>Bhubaneswar</t>
        </is>
      </c>
      <c r="F33" s="34" t="inlineStr">
        <is>
          <t>Automatic Air Fryer 4.5L</t>
        </is>
      </c>
      <c r="G33" s="33" t="inlineStr">
        <is>
          <t>Home &amp; Living</t>
        </is>
      </c>
      <c r="H33" s="35" t="n">
        <v>1</v>
      </c>
      <c r="I33" s="20" t="n">
        <v>5499</v>
      </c>
      <c r="J33" s="36" t="n">
        <v>0.2</v>
      </c>
      <c r="K33" s="20">
        <f>H33*I33</f>
        <v/>
      </c>
      <c r="L33" s="20">
        <f>K33*J33</f>
        <v/>
      </c>
      <c r="M33" s="20">
        <f>K33-L33</f>
        <v/>
      </c>
      <c r="N33" s="20" t="n">
        <v>3600</v>
      </c>
      <c r="O33" s="20">
        <f>M33-N33</f>
        <v/>
      </c>
      <c r="P33" s="21">
        <f>IFERROR(O33/M33, 0)</f>
        <v/>
      </c>
      <c r="Q33" s="33" t="inlineStr">
        <is>
          <t>Cancelled</t>
        </is>
      </c>
    </row>
    <row r="34">
      <c r="A34" s="29" t="n">
        <v>18</v>
      </c>
      <c r="B34" s="29" t="inlineStr">
        <is>
          <t>2025-09-12</t>
        </is>
      </c>
      <c r="C34" s="30" t="inlineStr">
        <is>
          <t>Alok Kulkarni</t>
        </is>
      </c>
      <c r="D34" s="29" t="inlineStr">
        <is>
          <t>East</t>
        </is>
      </c>
      <c r="E34" s="30" t="inlineStr">
        <is>
          <t>Bhubaneswar</t>
        </is>
      </c>
      <c r="F34" s="30" t="inlineStr">
        <is>
          <t>Double Bed Pure Cotton Bedsheet</t>
        </is>
      </c>
      <c r="G34" s="29" t="inlineStr">
        <is>
          <t>Home &amp; Living</t>
        </is>
      </c>
      <c r="H34" s="31" t="n">
        <v>1</v>
      </c>
      <c r="I34" s="16" t="n">
        <v>1599</v>
      </c>
      <c r="J34" s="32" t="n">
        <v>0</v>
      </c>
      <c r="K34" s="16">
        <f>H34*I34</f>
        <v/>
      </c>
      <c r="L34" s="16">
        <f>K34*J34</f>
        <v/>
      </c>
      <c r="M34" s="16">
        <f>K34-L34</f>
        <v/>
      </c>
      <c r="N34" s="16" t="n">
        <v>780</v>
      </c>
      <c r="O34" s="16">
        <f>M34-N34</f>
        <v/>
      </c>
      <c r="P34" s="17">
        <f>IFERROR(O34/M34, 0)</f>
        <v/>
      </c>
      <c r="Q34" s="29" t="inlineStr">
        <is>
          <t>Cancelled</t>
        </is>
      </c>
    </row>
    <row r="35">
      <c r="A35" s="33" t="n">
        <v>19</v>
      </c>
      <c r="B35" s="33" t="inlineStr">
        <is>
          <t>2025-06-19</t>
        </is>
      </c>
      <c r="C35" s="34" t="inlineStr">
        <is>
          <t>Arjun Choudhury</t>
        </is>
      </c>
      <c r="D35" s="33" t="inlineStr">
        <is>
          <t>East</t>
        </is>
      </c>
      <c r="E35" s="34" t="inlineStr">
        <is>
          <t>Patna</t>
        </is>
      </c>
      <c r="F35" s="34" t="inlineStr">
        <is>
          <t>Premium California Almonds 500g</t>
        </is>
      </c>
      <c r="G35" s="33" t="inlineStr">
        <is>
          <t>Groceries</t>
        </is>
      </c>
      <c r="H35" s="35" t="n">
        <v>2</v>
      </c>
      <c r="I35" s="20" t="n">
        <v>599</v>
      </c>
      <c r="J35" s="36" t="n">
        <v>0.05</v>
      </c>
      <c r="K35" s="20">
        <f>H35*I35</f>
        <v/>
      </c>
      <c r="L35" s="20">
        <f>K35*J35</f>
        <v/>
      </c>
      <c r="M35" s="20">
        <f>K35-L35</f>
        <v/>
      </c>
      <c r="N35" s="20" t="n">
        <v>760</v>
      </c>
      <c r="O35" s="20">
        <f>M35-N35</f>
        <v/>
      </c>
      <c r="P35" s="21">
        <f>IFERROR(O35/M35, 0)</f>
        <v/>
      </c>
      <c r="Q35" s="33" t="inlineStr">
        <is>
          <t>Delivered</t>
        </is>
      </c>
    </row>
    <row r="36">
      <c r="A36" s="29" t="n">
        <v>19</v>
      </c>
      <c r="B36" s="29" t="inlineStr">
        <is>
          <t>2025-06-19</t>
        </is>
      </c>
      <c r="C36" s="30" t="inlineStr">
        <is>
          <t>Arjun Choudhury</t>
        </is>
      </c>
      <c r="D36" s="29" t="inlineStr">
        <is>
          <t>East</t>
        </is>
      </c>
      <c r="E36" s="30" t="inlineStr">
        <is>
          <t>Patna</t>
        </is>
      </c>
      <c r="F36" s="30" t="inlineStr">
        <is>
          <t>Pure Raw Honey 500g</t>
        </is>
      </c>
      <c r="G36" s="29" t="inlineStr">
        <is>
          <t>Groceries</t>
        </is>
      </c>
      <c r="H36" s="31" t="n">
        <v>1</v>
      </c>
      <c r="I36" s="16" t="n">
        <v>399</v>
      </c>
      <c r="J36" s="32" t="n">
        <v>0.2</v>
      </c>
      <c r="K36" s="16">
        <f>H36*I36</f>
        <v/>
      </c>
      <c r="L36" s="16">
        <f>K36*J36</f>
        <v/>
      </c>
      <c r="M36" s="16">
        <f>K36-L36</f>
        <v/>
      </c>
      <c r="N36" s="16" t="n">
        <v>210</v>
      </c>
      <c r="O36" s="16">
        <f>M36-N36</f>
        <v/>
      </c>
      <c r="P36" s="17">
        <f>IFERROR(O36/M36, 0)</f>
        <v/>
      </c>
      <c r="Q36" s="29" t="inlineStr">
        <is>
          <t>Delivered</t>
        </is>
      </c>
    </row>
    <row r="37">
      <c r="A37" s="33" t="n">
        <v>20</v>
      </c>
      <c r="B37" s="33" t="inlineStr">
        <is>
          <t>2025-02-02</t>
        </is>
      </c>
      <c r="C37" s="34" t="inlineStr">
        <is>
          <t>Nandini Singh</t>
        </is>
      </c>
      <c r="D37" s="33" t="inlineStr">
        <is>
          <t>Central</t>
        </is>
      </c>
      <c r="E37" s="34" t="inlineStr">
        <is>
          <t>Gwalior</t>
        </is>
      </c>
      <c r="F37" s="34" t="inlineStr">
        <is>
          <t>Unisex Classic Denim Jeans</t>
        </is>
      </c>
      <c r="G37" s="33" t="inlineStr">
        <is>
          <t>Fashion</t>
        </is>
      </c>
      <c r="H37" s="35" t="n">
        <v>1</v>
      </c>
      <c r="I37" s="20" t="n">
        <v>2499</v>
      </c>
      <c r="J37" s="36" t="n">
        <v>0.12</v>
      </c>
      <c r="K37" s="20">
        <f>H37*I37</f>
        <v/>
      </c>
      <c r="L37" s="20">
        <f>K37*J37</f>
        <v/>
      </c>
      <c r="M37" s="20">
        <f>K37-L37</f>
        <v/>
      </c>
      <c r="N37" s="20" t="n">
        <v>1100</v>
      </c>
      <c r="O37" s="20">
        <f>M37-N37</f>
        <v/>
      </c>
      <c r="P37" s="21">
        <f>IFERROR(O37/M37, 0)</f>
        <v/>
      </c>
      <c r="Q37" s="33" t="inlineStr">
        <is>
          <t>Delivered</t>
        </is>
      </c>
    </row>
    <row r="38">
      <c r="A38" s="29" t="n">
        <v>21</v>
      </c>
      <c r="B38" s="29" t="inlineStr">
        <is>
          <t>2025-03-22</t>
        </is>
      </c>
      <c r="C38" s="30" t="inlineStr">
        <is>
          <t>Anjali Sharma</t>
        </is>
      </c>
      <c r="D38" s="29" t="inlineStr">
        <is>
          <t>Central</t>
        </is>
      </c>
      <c r="E38" s="30" t="inlineStr">
        <is>
          <t>Gwalior</t>
        </is>
      </c>
      <c r="F38" s="30" t="inlineStr">
        <is>
          <t>Men Slim-Fit Cotton Casual Shirt</t>
        </is>
      </c>
      <c r="G38" s="29" t="inlineStr">
        <is>
          <t>Fashion</t>
        </is>
      </c>
      <c r="H38" s="31" t="n">
        <v>1</v>
      </c>
      <c r="I38" s="16" t="n">
        <v>1499</v>
      </c>
      <c r="J38" s="32" t="n">
        <v>0.15</v>
      </c>
      <c r="K38" s="16">
        <f>H38*I38</f>
        <v/>
      </c>
      <c r="L38" s="16">
        <f>K38*J38</f>
        <v/>
      </c>
      <c r="M38" s="16">
        <f>K38-L38</f>
        <v/>
      </c>
      <c r="N38" s="16" t="n">
        <v>650</v>
      </c>
      <c r="O38" s="16">
        <f>M38-N38</f>
        <v/>
      </c>
      <c r="P38" s="17">
        <f>IFERROR(O38/M38, 0)</f>
        <v/>
      </c>
      <c r="Q38" s="29" t="inlineStr">
        <is>
          <t>Shipped</t>
        </is>
      </c>
    </row>
    <row r="39">
      <c r="A39" s="33" t="n">
        <v>22</v>
      </c>
      <c r="B39" s="33" t="inlineStr">
        <is>
          <t>2025-07-09</t>
        </is>
      </c>
      <c r="C39" s="34" t="inlineStr">
        <is>
          <t>Simran Choudhury</t>
        </is>
      </c>
      <c r="D39" s="33" t="inlineStr">
        <is>
          <t>East</t>
        </is>
      </c>
      <c r="E39" s="34" t="inlineStr">
        <is>
          <t>Guwahati</t>
        </is>
      </c>
      <c r="F39" s="34" t="inlineStr">
        <is>
          <t>Insulated Stainless Steel Sipper Bottle</t>
        </is>
      </c>
      <c r="G39" s="33" t="inlineStr">
        <is>
          <t>Sports</t>
        </is>
      </c>
      <c r="H39" s="35" t="n">
        <v>2</v>
      </c>
      <c r="I39" s="20" t="n">
        <v>799</v>
      </c>
      <c r="J39" s="36" t="n">
        <v>0.1</v>
      </c>
      <c r="K39" s="20">
        <f>H39*I39</f>
        <v/>
      </c>
      <c r="L39" s="20">
        <f>K39*J39</f>
        <v/>
      </c>
      <c r="M39" s="20">
        <f>K39-L39</f>
        <v/>
      </c>
      <c r="N39" s="20" t="n">
        <v>780</v>
      </c>
      <c r="O39" s="20">
        <f>M39-N39</f>
        <v/>
      </c>
      <c r="P39" s="21">
        <f>IFERROR(O39/M39, 0)</f>
        <v/>
      </c>
      <c r="Q39" s="33" t="inlineStr">
        <is>
          <t>Shipped</t>
        </is>
      </c>
    </row>
    <row r="40">
      <c r="A40" s="29" t="n">
        <v>22</v>
      </c>
      <c r="B40" s="29" t="inlineStr">
        <is>
          <t>2025-07-09</t>
        </is>
      </c>
      <c r="C40" s="30" t="inlineStr">
        <is>
          <t>Simran Choudhury</t>
        </is>
      </c>
      <c r="D40" s="29" t="inlineStr">
        <is>
          <t>East</t>
        </is>
      </c>
      <c r="E40" s="30" t="inlineStr">
        <is>
          <t>Guwahati</t>
        </is>
      </c>
      <c r="F40" s="30" t="inlineStr">
        <is>
          <t>Multipurpose Desk Organizer Set</t>
        </is>
      </c>
      <c r="G40" s="29" t="inlineStr">
        <is>
          <t>Home &amp; Living</t>
        </is>
      </c>
      <c r="H40" s="31" t="n">
        <v>1</v>
      </c>
      <c r="I40" s="16" t="n">
        <v>699</v>
      </c>
      <c r="J40" s="32" t="n">
        <v>0</v>
      </c>
      <c r="K40" s="16">
        <f>H40*I40</f>
        <v/>
      </c>
      <c r="L40" s="16">
        <f>K40*J40</f>
        <v/>
      </c>
      <c r="M40" s="16">
        <f>K40-L40</f>
        <v/>
      </c>
      <c r="N40" s="16" t="n">
        <v>290</v>
      </c>
      <c r="O40" s="16">
        <f>M40-N40</f>
        <v/>
      </c>
      <c r="P40" s="17">
        <f>IFERROR(O40/M40, 0)</f>
        <v/>
      </c>
      <c r="Q40" s="29" t="inlineStr">
        <is>
          <t>Shipped</t>
        </is>
      </c>
    </row>
    <row r="41">
      <c r="A41" s="33" t="n">
        <v>23</v>
      </c>
      <c r="B41" s="33" t="inlineStr">
        <is>
          <t>2025-03-31</t>
        </is>
      </c>
      <c r="C41" s="34" t="inlineStr">
        <is>
          <t>Aditya Verma</t>
        </is>
      </c>
      <c r="D41" s="33" t="inlineStr">
        <is>
          <t>South</t>
        </is>
      </c>
      <c r="E41" s="34" t="inlineStr">
        <is>
          <t>Bengaluru</t>
        </is>
      </c>
      <c r="F41" s="34" t="inlineStr">
        <is>
          <t>Women Floral Embroidered Kurti</t>
        </is>
      </c>
      <c r="G41" s="33" t="inlineStr">
        <is>
          <t>Fashion</t>
        </is>
      </c>
      <c r="H41" s="35" t="n">
        <v>1</v>
      </c>
      <c r="I41" s="20" t="n">
        <v>1899</v>
      </c>
      <c r="J41" s="36" t="n">
        <v>0.12</v>
      </c>
      <c r="K41" s="20">
        <f>H41*I41</f>
        <v/>
      </c>
      <c r="L41" s="20">
        <f>K41*J41</f>
        <v/>
      </c>
      <c r="M41" s="20">
        <f>K41-L41</f>
        <v/>
      </c>
      <c r="N41" s="20" t="n">
        <v>800</v>
      </c>
      <c r="O41" s="20">
        <f>M41-N41</f>
        <v/>
      </c>
      <c r="P41" s="21">
        <f>IFERROR(O41/M41, 0)</f>
        <v/>
      </c>
      <c r="Q41" s="33" t="inlineStr">
        <is>
          <t>Delivered</t>
        </is>
      </c>
    </row>
    <row r="42">
      <c r="A42" s="29" t="n">
        <v>24</v>
      </c>
      <c r="B42" s="29" t="inlineStr">
        <is>
          <t>2025-07-01</t>
        </is>
      </c>
      <c r="C42" s="30" t="inlineStr">
        <is>
          <t>Meera Bhat</t>
        </is>
      </c>
      <c r="D42" s="29" t="inlineStr">
        <is>
          <t>South</t>
        </is>
      </c>
      <c r="E42" s="30" t="inlineStr">
        <is>
          <t>Bengaluru</t>
        </is>
      </c>
      <c r="F42" s="30" t="inlineStr">
        <is>
          <t>Double Bed Pure Cotton Bedsheet</t>
        </is>
      </c>
      <c r="G42" s="29" t="inlineStr">
        <is>
          <t>Home &amp; Living</t>
        </is>
      </c>
      <c r="H42" s="31" t="n">
        <v>1</v>
      </c>
      <c r="I42" s="16" t="n">
        <v>1599</v>
      </c>
      <c r="J42" s="32" t="n">
        <v>0.05</v>
      </c>
      <c r="K42" s="16">
        <f>H42*I42</f>
        <v/>
      </c>
      <c r="L42" s="16">
        <f>K42*J42</f>
        <v/>
      </c>
      <c r="M42" s="16">
        <f>K42-L42</f>
        <v/>
      </c>
      <c r="N42" s="16" t="n">
        <v>780</v>
      </c>
      <c r="O42" s="16">
        <f>M42-N42</f>
        <v/>
      </c>
      <c r="P42" s="17">
        <f>IFERROR(O42/M42, 0)</f>
        <v/>
      </c>
      <c r="Q42" s="29" t="inlineStr">
        <is>
          <t>Shipped</t>
        </is>
      </c>
    </row>
    <row r="43">
      <c r="A43" s="33" t="n">
        <v>24</v>
      </c>
      <c r="B43" s="33" t="inlineStr">
        <is>
          <t>2025-07-01</t>
        </is>
      </c>
      <c r="C43" s="34" t="inlineStr">
        <is>
          <t>Meera Bhat</t>
        </is>
      </c>
      <c r="D43" s="33" t="inlineStr">
        <is>
          <t>South</t>
        </is>
      </c>
      <c r="E43" s="34" t="inlineStr">
        <is>
          <t>Bengaluru</t>
        </is>
      </c>
      <c r="F43" s="34" t="inlineStr">
        <is>
          <t>Skipping Rope with Digital Counter</t>
        </is>
      </c>
      <c r="G43" s="33" t="inlineStr">
        <is>
          <t>Sports</t>
        </is>
      </c>
      <c r="H43" s="35" t="n">
        <v>2</v>
      </c>
      <c r="I43" s="20" t="n">
        <v>499</v>
      </c>
      <c r="J43" s="36" t="n">
        <v>0.05</v>
      </c>
      <c r="K43" s="20">
        <f>H43*I43</f>
        <v/>
      </c>
      <c r="L43" s="20">
        <f>K43*J43</f>
        <v/>
      </c>
      <c r="M43" s="20">
        <f>K43-L43</f>
        <v/>
      </c>
      <c r="N43" s="20" t="n">
        <v>420</v>
      </c>
      <c r="O43" s="20">
        <f>M43-N43</f>
        <v/>
      </c>
      <c r="P43" s="21">
        <f>IFERROR(O43/M43, 0)</f>
        <v/>
      </c>
      <c r="Q43" s="33" t="inlineStr">
        <is>
          <t>Shipped</t>
        </is>
      </c>
    </row>
    <row r="44">
      <c r="A44" s="29" t="n">
        <v>25</v>
      </c>
      <c r="B44" s="29" t="inlineStr">
        <is>
          <t>2025-03-09</t>
        </is>
      </c>
      <c r="C44" s="30" t="inlineStr">
        <is>
          <t>Manoj Verma</t>
        </is>
      </c>
      <c r="D44" s="29" t="inlineStr">
        <is>
          <t>North</t>
        </is>
      </c>
      <c r="E44" s="30" t="inlineStr">
        <is>
          <t>Gurgaon</t>
        </is>
      </c>
      <c r="F44" s="30" t="inlineStr">
        <is>
          <t>Men Slim-Fit Cotton Casual Shirt</t>
        </is>
      </c>
      <c r="G44" s="29" t="inlineStr">
        <is>
          <t>Fashion</t>
        </is>
      </c>
      <c r="H44" s="31" t="n">
        <v>1</v>
      </c>
      <c r="I44" s="16" t="n">
        <v>1499</v>
      </c>
      <c r="J44" s="32" t="n">
        <v>0.15</v>
      </c>
      <c r="K44" s="16">
        <f>H44*I44</f>
        <v/>
      </c>
      <c r="L44" s="16">
        <f>K44*J44</f>
        <v/>
      </c>
      <c r="M44" s="16">
        <f>K44-L44</f>
        <v/>
      </c>
      <c r="N44" s="16" t="n">
        <v>650</v>
      </c>
      <c r="O44" s="16">
        <f>M44-N44</f>
        <v/>
      </c>
      <c r="P44" s="17">
        <f>IFERROR(O44/M44, 0)</f>
        <v/>
      </c>
      <c r="Q44" s="29" t="inlineStr">
        <is>
          <t>Delivered</t>
        </is>
      </c>
    </row>
    <row r="45">
      <c r="A45" s="33" t="n">
        <v>26</v>
      </c>
      <c r="B45" s="33" t="inlineStr">
        <is>
          <t>2025-02-03</t>
        </is>
      </c>
      <c r="C45" s="34" t="inlineStr">
        <is>
          <t>Harsh Singh</t>
        </is>
      </c>
      <c r="D45" s="33" t="inlineStr">
        <is>
          <t>West</t>
        </is>
      </c>
      <c r="E45" s="34" t="inlineStr">
        <is>
          <t>Ahmedabad</t>
        </is>
      </c>
      <c r="F45" s="34" t="inlineStr">
        <is>
          <t>Multipurpose Desk Organizer Set</t>
        </is>
      </c>
      <c r="G45" s="33" t="inlineStr">
        <is>
          <t>Home &amp; Living</t>
        </is>
      </c>
      <c r="H45" s="35" t="n">
        <v>1</v>
      </c>
      <c r="I45" s="20" t="n">
        <v>699</v>
      </c>
      <c r="J45" s="36" t="n">
        <v>0.12</v>
      </c>
      <c r="K45" s="20">
        <f>H45*I45</f>
        <v/>
      </c>
      <c r="L45" s="20">
        <f>K45*J45</f>
        <v/>
      </c>
      <c r="M45" s="20">
        <f>K45-L45</f>
        <v/>
      </c>
      <c r="N45" s="20" t="n">
        <v>290</v>
      </c>
      <c r="O45" s="20">
        <f>M45-N45</f>
        <v/>
      </c>
      <c r="P45" s="21">
        <f>IFERROR(O45/M45, 0)</f>
        <v/>
      </c>
      <c r="Q45" s="33" t="inlineStr">
        <is>
          <t>Delivered</t>
        </is>
      </c>
    </row>
    <row r="46">
      <c r="A46" s="29" t="n">
        <v>27</v>
      </c>
      <c r="B46" s="29" t="inlineStr">
        <is>
          <t>2025-09-02</t>
        </is>
      </c>
      <c r="C46" s="30" t="inlineStr">
        <is>
          <t>Rajesh Singh</t>
        </is>
      </c>
      <c r="D46" s="29" t="inlineStr">
        <is>
          <t>West</t>
        </is>
      </c>
      <c r="E46" s="30" t="inlineStr">
        <is>
          <t>Mumbai</t>
        </is>
      </c>
      <c r="F46" s="30" t="inlineStr">
        <is>
          <t>Men Slim-Fit Cotton Casual Shirt</t>
        </is>
      </c>
      <c r="G46" s="29" t="inlineStr">
        <is>
          <t>Fashion</t>
        </is>
      </c>
      <c r="H46" s="31" t="n">
        <v>1</v>
      </c>
      <c r="I46" s="16" t="n">
        <v>1499</v>
      </c>
      <c r="J46" s="32" t="n">
        <v>0</v>
      </c>
      <c r="K46" s="16">
        <f>H46*I46</f>
        <v/>
      </c>
      <c r="L46" s="16">
        <f>K46*J46</f>
        <v/>
      </c>
      <c r="M46" s="16">
        <f>K46-L46</f>
        <v/>
      </c>
      <c r="N46" s="16" t="n">
        <v>650</v>
      </c>
      <c r="O46" s="16">
        <f>M46-N46</f>
        <v/>
      </c>
      <c r="P46" s="17">
        <f>IFERROR(O46/M46, 0)</f>
        <v/>
      </c>
      <c r="Q46" s="29" t="inlineStr">
        <is>
          <t>Delivered</t>
        </is>
      </c>
    </row>
    <row r="47">
      <c r="A47" s="33" t="n">
        <v>27</v>
      </c>
      <c r="B47" s="33" t="inlineStr">
        <is>
          <t>2025-09-02</t>
        </is>
      </c>
      <c r="C47" s="34" t="inlineStr">
        <is>
          <t>Rajesh Singh</t>
        </is>
      </c>
      <c r="D47" s="33" t="inlineStr">
        <is>
          <t>West</t>
        </is>
      </c>
      <c r="E47" s="34" t="inlineStr">
        <is>
          <t>Mumbai</t>
        </is>
      </c>
      <c r="F47" s="34" t="inlineStr">
        <is>
          <t>Lightweight Running Sports Shoes</t>
        </is>
      </c>
      <c r="G47" s="33" t="inlineStr">
        <is>
          <t>Fashion</t>
        </is>
      </c>
      <c r="H47" s="35" t="n">
        <v>2</v>
      </c>
      <c r="I47" s="20" t="n">
        <v>3199</v>
      </c>
      <c r="J47" s="36" t="n">
        <v>0</v>
      </c>
      <c r="K47" s="20">
        <f>H47*I47</f>
        <v/>
      </c>
      <c r="L47" s="20">
        <f>K47*J47</f>
        <v/>
      </c>
      <c r="M47" s="20">
        <f>K47-L47</f>
        <v/>
      </c>
      <c r="N47" s="20" t="n">
        <v>3000</v>
      </c>
      <c r="O47" s="20">
        <f>M47-N47</f>
        <v/>
      </c>
      <c r="P47" s="21">
        <f>IFERROR(O47/M47, 0)</f>
        <v/>
      </c>
      <c r="Q47" s="33" t="inlineStr">
        <is>
          <t>Delivered</t>
        </is>
      </c>
    </row>
    <row r="48">
      <c r="A48" s="29" t="n">
        <v>27</v>
      </c>
      <c r="B48" s="29" t="inlineStr">
        <is>
          <t>2025-09-02</t>
        </is>
      </c>
      <c r="C48" s="30" t="inlineStr">
        <is>
          <t>Rajesh Singh</t>
        </is>
      </c>
      <c r="D48" s="29" t="inlineStr">
        <is>
          <t>West</t>
        </is>
      </c>
      <c r="E48" s="30" t="inlineStr">
        <is>
          <t>Mumbai</t>
        </is>
      </c>
      <c r="F48" s="30" t="inlineStr">
        <is>
          <t>Women Floral Embroidered Kurti</t>
        </is>
      </c>
      <c r="G48" s="29" t="inlineStr">
        <is>
          <t>Fashion</t>
        </is>
      </c>
      <c r="H48" s="31" t="n">
        <v>1</v>
      </c>
      <c r="I48" s="16" t="n">
        <v>1899</v>
      </c>
      <c r="J48" s="32" t="n">
        <v>0</v>
      </c>
      <c r="K48" s="16">
        <f>H48*I48</f>
        <v/>
      </c>
      <c r="L48" s="16">
        <f>K48*J48</f>
        <v/>
      </c>
      <c r="M48" s="16">
        <f>K48-L48</f>
        <v/>
      </c>
      <c r="N48" s="16" t="n">
        <v>800</v>
      </c>
      <c r="O48" s="16">
        <f>M48-N48</f>
        <v/>
      </c>
      <c r="P48" s="17">
        <f>IFERROR(O48/M48, 0)</f>
        <v/>
      </c>
      <c r="Q48" s="29" t="inlineStr">
        <is>
          <t>Delivered</t>
        </is>
      </c>
    </row>
    <row r="49">
      <c r="A49" s="33" t="n">
        <v>27</v>
      </c>
      <c r="B49" s="33" t="inlineStr">
        <is>
          <t>2025-09-02</t>
        </is>
      </c>
      <c r="C49" s="34" t="inlineStr">
        <is>
          <t>Rajesh Singh</t>
        </is>
      </c>
      <c r="D49" s="33" t="inlineStr">
        <is>
          <t>West</t>
        </is>
      </c>
      <c r="E49" s="34" t="inlineStr">
        <is>
          <t>Mumbai</t>
        </is>
      </c>
      <c r="F49" s="34" t="inlineStr">
        <is>
          <t>Orthopedic Memory Foam Pillow</t>
        </is>
      </c>
      <c r="G49" s="33" t="inlineStr">
        <is>
          <t>Home &amp; Living</t>
        </is>
      </c>
      <c r="H49" s="35" t="n">
        <v>1</v>
      </c>
      <c r="I49" s="20" t="n">
        <v>1799</v>
      </c>
      <c r="J49" s="36" t="n">
        <v>0.15</v>
      </c>
      <c r="K49" s="20">
        <f>H49*I49</f>
        <v/>
      </c>
      <c r="L49" s="20">
        <f>K49*J49</f>
        <v/>
      </c>
      <c r="M49" s="20">
        <f>K49-L49</f>
        <v/>
      </c>
      <c r="N49" s="20" t="n">
        <v>950</v>
      </c>
      <c r="O49" s="20">
        <f>M49-N49</f>
        <v/>
      </c>
      <c r="P49" s="21">
        <f>IFERROR(O49/M49, 0)</f>
        <v/>
      </c>
      <c r="Q49" s="33" t="inlineStr">
        <is>
          <t>Delivered</t>
        </is>
      </c>
    </row>
    <row r="50">
      <c r="A50" s="29" t="n">
        <v>28</v>
      </c>
      <c r="B50" s="29" t="inlineStr">
        <is>
          <t>2025-09-23</t>
        </is>
      </c>
      <c r="C50" s="30" t="inlineStr">
        <is>
          <t>Manoj Patel</t>
        </is>
      </c>
      <c r="D50" s="29" t="inlineStr">
        <is>
          <t>West</t>
        </is>
      </c>
      <c r="E50" s="30" t="inlineStr">
        <is>
          <t>Surat</t>
        </is>
      </c>
      <c r="F50" s="30" t="inlineStr">
        <is>
          <t>Ergonomic Wireless Mouse</t>
        </is>
      </c>
      <c r="G50" s="29" t="inlineStr">
        <is>
          <t>Electronics</t>
        </is>
      </c>
      <c r="H50" s="31" t="n">
        <v>1</v>
      </c>
      <c r="I50" s="16" t="n">
        <v>1299</v>
      </c>
      <c r="J50" s="32" t="n">
        <v>0.1</v>
      </c>
      <c r="K50" s="16">
        <f>H50*I50</f>
        <v/>
      </c>
      <c r="L50" s="16">
        <f>K50*J50</f>
        <v/>
      </c>
      <c r="M50" s="16">
        <f>K50-L50</f>
        <v/>
      </c>
      <c r="N50" s="16" t="n">
        <v>750</v>
      </c>
      <c r="O50" s="16">
        <f>M50-N50</f>
        <v/>
      </c>
      <c r="P50" s="17">
        <f>IFERROR(O50/M50, 0)</f>
        <v/>
      </c>
      <c r="Q50" s="29" t="inlineStr">
        <is>
          <t>Cancelled</t>
        </is>
      </c>
    </row>
    <row r="51">
      <c r="A51" s="33" t="n">
        <v>28</v>
      </c>
      <c r="B51" s="33" t="inlineStr">
        <is>
          <t>2025-09-23</t>
        </is>
      </c>
      <c r="C51" s="34" t="inlineStr">
        <is>
          <t>Manoj Patel</t>
        </is>
      </c>
      <c r="D51" s="33" t="inlineStr">
        <is>
          <t>West</t>
        </is>
      </c>
      <c r="E51" s="34" t="inlineStr">
        <is>
          <t>Surat</t>
        </is>
      </c>
      <c r="F51" s="34" t="inlineStr">
        <is>
          <t>Ultra HD Smart LED TV 55-inch</t>
        </is>
      </c>
      <c r="G51" s="33" t="inlineStr">
        <is>
          <t>Electronics</t>
        </is>
      </c>
      <c r="H51" s="35" t="n">
        <v>1</v>
      </c>
      <c r="I51" s="20" t="n">
        <v>42999</v>
      </c>
      <c r="J51" s="36" t="n">
        <v>0.05</v>
      </c>
      <c r="K51" s="20">
        <f>H51*I51</f>
        <v/>
      </c>
      <c r="L51" s="20">
        <f>K51*J51</f>
        <v/>
      </c>
      <c r="M51" s="20">
        <f>K51-L51</f>
        <v/>
      </c>
      <c r="N51" s="20" t="n">
        <v>31000</v>
      </c>
      <c r="O51" s="20">
        <f>M51-N51</f>
        <v/>
      </c>
      <c r="P51" s="21">
        <f>IFERROR(O51/M51, 0)</f>
        <v/>
      </c>
      <c r="Q51" s="33" t="inlineStr">
        <is>
          <t>Cancelled</t>
        </is>
      </c>
    </row>
    <row r="52">
      <c r="A52" s="29" t="n">
        <v>29</v>
      </c>
      <c r="B52" s="29" t="inlineStr">
        <is>
          <t>2024-11-27</t>
        </is>
      </c>
      <c r="C52" s="30" t="inlineStr">
        <is>
          <t>Vidya Verma</t>
        </is>
      </c>
      <c r="D52" s="29" t="inlineStr">
        <is>
          <t>East</t>
        </is>
      </c>
      <c r="E52" s="30" t="inlineStr">
        <is>
          <t>Ranchi</t>
        </is>
      </c>
      <c r="F52" s="30" t="inlineStr">
        <is>
          <t>Multipurpose Desk Organizer Set</t>
        </is>
      </c>
      <c r="G52" s="29" t="inlineStr">
        <is>
          <t>Home &amp; Living</t>
        </is>
      </c>
      <c r="H52" s="31" t="n">
        <v>1</v>
      </c>
      <c r="I52" s="16" t="n">
        <v>699</v>
      </c>
      <c r="J52" s="32" t="n">
        <v>0</v>
      </c>
      <c r="K52" s="16">
        <f>H52*I52</f>
        <v/>
      </c>
      <c r="L52" s="16">
        <f>K52*J52</f>
        <v/>
      </c>
      <c r="M52" s="16">
        <f>K52-L52</f>
        <v/>
      </c>
      <c r="N52" s="16" t="n">
        <v>290</v>
      </c>
      <c r="O52" s="16">
        <f>M52-N52</f>
        <v/>
      </c>
      <c r="P52" s="17">
        <f>IFERROR(O52/M52, 0)</f>
        <v/>
      </c>
      <c r="Q52" s="29" t="inlineStr">
        <is>
          <t>Delivered</t>
        </is>
      </c>
    </row>
    <row r="53">
      <c r="A53" s="33" t="n">
        <v>29</v>
      </c>
      <c r="B53" s="33" t="inlineStr">
        <is>
          <t>2024-11-27</t>
        </is>
      </c>
      <c r="C53" s="34" t="inlineStr">
        <is>
          <t>Vidya Verma</t>
        </is>
      </c>
      <c r="D53" s="33" t="inlineStr">
        <is>
          <t>East</t>
        </is>
      </c>
      <c r="E53" s="34" t="inlineStr">
        <is>
          <t>Ranchi</t>
        </is>
      </c>
      <c r="F53" s="34" t="inlineStr">
        <is>
          <t>Ergonomic Wireless Mouse</t>
        </is>
      </c>
      <c r="G53" s="33" t="inlineStr">
        <is>
          <t>Electronics</t>
        </is>
      </c>
      <c r="H53" s="35" t="n">
        <v>1</v>
      </c>
      <c r="I53" s="20" t="n">
        <v>1299</v>
      </c>
      <c r="J53" s="36" t="n">
        <v>0.15</v>
      </c>
      <c r="K53" s="20">
        <f>H53*I53</f>
        <v/>
      </c>
      <c r="L53" s="20">
        <f>K53*J53</f>
        <v/>
      </c>
      <c r="M53" s="20">
        <f>K53-L53</f>
        <v/>
      </c>
      <c r="N53" s="20" t="n">
        <v>750</v>
      </c>
      <c r="O53" s="20">
        <f>M53-N53</f>
        <v/>
      </c>
      <c r="P53" s="21">
        <f>IFERROR(O53/M53, 0)</f>
        <v/>
      </c>
      <c r="Q53" s="33" t="inlineStr">
        <is>
          <t>Delivered</t>
        </is>
      </c>
    </row>
    <row r="54">
      <c r="A54" s="29" t="n">
        <v>29</v>
      </c>
      <c r="B54" s="29" t="inlineStr">
        <is>
          <t>2024-11-27</t>
        </is>
      </c>
      <c r="C54" s="30" t="inlineStr">
        <is>
          <t>Vidya Verma</t>
        </is>
      </c>
      <c r="D54" s="29" t="inlineStr">
        <is>
          <t>East</t>
        </is>
      </c>
      <c r="E54" s="30" t="inlineStr">
        <is>
          <t>Ranchi</t>
        </is>
      </c>
      <c r="F54" s="30" t="inlineStr">
        <is>
          <t>Mechanical Gaming Keyboard</t>
        </is>
      </c>
      <c r="G54" s="29" t="inlineStr">
        <is>
          <t>Electronics</t>
        </is>
      </c>
      <c r="H54" s="31" t="n">
        <v>1</v>
      </c>
      <c r="I54" s="16" t="n">
        <v>3299</v>
      </c>
      <c r="J54" s="32" t="n">
        <v>0</v>
      </c>
      <c r="K54" s="16">
        <f>H54*I54</f>
        <v/>
      </c>
      <c r="L54" s="16">
        <f>K54*J54</f>
        <v/>
      </c>
      <c r="M54" s="16">
        <f>K54-L54</f>
        <v/>
      </c>
      <c r="N54" s="16" t="n">
        <v>2100</v>
      </c>
      <c r="O54" s="16">
        <f>M54-N54</f>
        <v/>
      </c>
      <c r="P54" s="17">
        <f>IFERROR(O54/M54, 0)</f>
        <v/>
      </c>
      <c r="Q54" s="29" t="inlineStr">
        <is>
          <t>Delivered</t>
        </is>
      </c>
    </row>
    <row r="55">
      <c r="A55" s="33" t="n">
        <v>30</v>
      </c>
      <c r="B55" s="33" t="inlineStr">
        <is>
          <t>2025-04-05</t>
        </is>
      </c>
      <c r="C55" s="34" t="inlineStr">
        <is>
          <t>Kunal Rao</t>
        </is>
      </c>
      <c r="D55" s="33" t="inlineStr">
        <is>
          <t>East</t>
        </is>
      </c>
      <c r="E55" s="34" t="inlineStr">
        <is>
          <t>Guwahati</t>
        </is>
      </c>
      <c r="F55" s="34" t="inlineStr">
        <is>
          <t>Ergonomic Wireless Mouse</t>
        </is>
      </c>
      <c r="G55" s="33" t="inlineStr">
        <is>
          <t>Electronics</t>
        </is>
      </c>
      <c r="H55" s="35" t="n">
        <v>1</v>
      </c>
      <c r="I55" s="20" t="n">
        <v>1299</v>
      </c>
      <c r="J55" s="36" t="n">
        <v>0.12</v>
      </c>
      <c r="K55" s="20">
        <f>H55*I55</f>
        <v/>
      </c>
      <c r="L55" s="20">
        <f>K55*J55</f>
        <v/>
      </c>
      <c r="M55" s="20">
        <f>K55-L55</f>
        <v/>
      </c>
      <c r="N55" s="20" t="n">
        <v>750</v>
      </c>
      <c r="O55" s="20">
        <f>M55-N55</f>
        <v/>
      </c>
      <c r="P55" s="21">
        <f>IFERROR(O55/M55, 0)</f>
        <v/>
      </c>
      <c r="Q55" s="33" t="inlineStr">
        <is>
          <t>Delivered</t>
        </is>
      </c>
    </row>
    <row r="56">
      <c r="A56" s="29" t="n">
        <v>30</v>
      </c>
      <c r="B56" s="29" t="inlineStr">
        <is>
          <t>2025-04-05</t>
        </is>
      </c>
      <c r="C56" s="30" t="inlineStr">
        <is>
          <t>Kunal Rao</t>
        </is>
      </c>
      <c r="D56" s="29" t="inlineStr">
        <is>
          <t>East</t>
        </is>
      </c>
      <c r="E56" s="30" t="inlineStr">
        <is>
          <t>Guwahati</t>
        </is>
      </c>
      <c r="F56" s="30" t="inlineStr">
        <is>
          <t>Cold-Pressed Extra Virgin Olive Oil 1L</t>
        </is>
      </c>
      <c r="G56" s="29" t="inlineStr">
        <is>
          <t>Groceries</t>
        </is>
      </c>
      <c r="H56" s="31" t="n">
        <v>1</v>
      </c>
      <c r="I56" s="16" t="n">
        <v>1199</v>
      </c>
      <c r="J56" s="32" t="n">
        <v>0.12</v>
      </c>
      <c r="K56" s="16">
        <f>H56*I56</f>
        <v/>
      </c>
      <c r="L56" s="16">
        <f>K56*J56</f>
        <v/>
      </c>
      <c r="M56" s="16">
        <f>K56-L56</f>
        <v/>
      </c>
      <c r="N56" s="16" t="n">
        <v>780</v>
      </c>
      <c r="O56" s="16">
        <f>M56-N56</f>
        <v/>
      </c>
      <c r="P56" s="17">
        <f>IFERROR(O56/M56, 0)</f>
        <v/>
      </c>
      <c r="Q56" s="29" t="inlineStr">
        <is>
          <t>Delivered</t>
        </is>
      </c>
    </row>
    <row r="57">
      <c r="A57" s="33" t="n">
        <v>30</v>
      </c>
      <c r="B57" s="33" t="inlineStr">
        <is>
          <t>2025-04-05</t>
        </is>
      </c>
      <c r="C57" s="34" t="inlineStr">
        <is>
          <t>Kunal Rao</t>
        </is>
      </c>
      <c r="D57" s="33" t="inlineStr">
        <is>
          <t>East</t>
        </is>
      </c>
      <c r="E57" s="34" t="inlineStr">
        <is>
          <t>Guwahati</t>
        </is>
      </c>
      <c r="F57" s="34" t="inlineStr">
        <is>
          <t>Double Bed Pure Cotton Bedsheet</t>
        </is>
      </c>
      <c r="G57" s="33" t="inlineStr">
        <is>
          <t>Home &amp; Living</t>
        </is>
      </c>
      <c r="H57" s="35" t="n">
        <v>1</v>
      </c>
      <c r="I57" s="20" t="n">
        <v>1599</v>
      </c>
      <c r="J57" s="36" t="n">
        <v>0.1</v>
      </c>
      <c r="K57" s="20">
        <f>H57*I57</f>
        <v/>
      </c>
      <c r="L57" s="20">
        <f>K57*J57</f>
        <v/>
      </c>
      <c r="M57" s="20">
        <f>K57-L57</f>
        <v/>
      </c>
      <c r="N57" s="20" t="n">
        <v>780</v>
      </c>
      <c r="O57" s="20">
        <f>M57-N57</f>
        <v/>
      </c>
      <c r="P57" s="21">
        <f>IFERROR(O57/M57, 0)</f>
        <v/>
      </c>
      <c r="Q57" s="33" t="inlineStr">
        <is>
          <t>Delivered</t>
        </is>
      </c>
    </row>
    <row r="58">
      <c r="A58" s="29" t="n">
        <v>30</v>
      </c>
      <c r="B58" s="29" t="inlineStr">
        <is>
          <t>2025-04-05</t>
        </is>
      </c>
      <c r="C58" s="30" t="inlineStr">
        <is>
          <t>Kunal Rao</t>
        </is>
      </c>
      <c r="D58" s="29" t="inlineStr">
        <is>
          <t>East</t>
        </is>
      </c>
      <c r="E58" s="30" t="inlineStr">
        <is>
          <t>Guwahati</t>
        </is>
      </c>
      <c r="F58" s="30" t="inlineStr">
        <is>
          <t>Pure Raw Honey 500g</t>
        </is>
      </c>
      <c r="G58" s="29" t="inlineStr">
        <is>
          <t>Groceries</t>
        </is>
      </c>
      <c r="H58" s="31" t="n">
        <v>1</v>
      </c>
      <c r="I58" s="16" t="n">
        <v>399</v>
      </c>
      <c r="J58" s="32" t="n">
        <v>0.12</v>
      </c>
      <c r="K58" s="16">
        <f>H58*I58</f>
        <v/>
      </c>
      <c r="L58" s="16">
        <f>K58*J58</f>
        <v/>
      </c>
      <c r="M58" s="16">
        <f>K58-L58</f>
        <v/>
      </c>
      <c r="N58" s="16" t="n">
        <v>210</v>
      </c>
      <c r="O58" s="16">
        <f>M58-N58</f>
        <v/>
      </c>
      <c r="P58" s="17">
        <f>IFERROR(O58/M58, 0)</f>
        <v/>
      </c>
      <c r="Q58" s="29" t="inlineStr">
        <is>
          <t>Delivered</t>
        </is>
      </c>
    </row>
    <row r="59">
      <c r="A59" s="33" t="n">
        <v>31</v>
      </c>
      <c r="B59" s="33" t="inlineStr">
        <is>
          <t>2025-04-06</t>
        </is>
      </c>
      <c r="C59" s="34" t="inlineStr">
        <is>
          <t>Kiran Saxena</t>
        </is>
      </c>
      <c r="D59" s="33" t="inlineStr">
        <is>
          <t>North</t>
        </is>
      </c>
      <c r="E59" s="34" t="inlineStr">
        <is>
          <t>Lucknow</t>
        </is>
      </c>
      <c r="F59" s="34" t="inlineStr">
        <is>
          <t>Pure Raw Honey 500g</t>
        </is>
      </c>
      <c r="G59" s="33" t="inlineStr">
        <is>
          <t>Groceries</t>
        </is>
      </c>
      <c r="H59" s="35" t="n">
        <v>1</v>
      </c>
      <c r="I59" s="20" t="n">
        <v>399</v>
      </c>
      <c r="J59" s="36" t="n">
        <v>0.2</v>
      </c>
      <c r="K59" s="20">
        <f>H59*I59</f>
        <v/>
      </c>
      <c r="L59" s="20">
        <f>K59*J59</f>
        <v/>
      </c>
      <c r="M59" s="20">
        <f>K59-L59</f>
        <v/>
      </c>
      <c r="N59" s="20" t="n">
        <v>210</v>
      </c>
      <c r="O59" s="20">
        <f>M59-N59</f>
        <v/>
      </c>
      <c r="P59" s="21">
        <f>IFERROR(O59/M59, 0)</f>
        <v/>
      </c>
      <c r="Q59" s="33" t="inlineStr">
        <is>
          <t>Shipped</t>
        </is>
      </c>
    </row>
    <row r="60">
      <c r="A60" s="29" t="n">
        <v>31</v>
      </c>
      <c r="B60" s="29" t="inlineStr">
        <is>
          <t>2025-04-06</t>
        </is>
      </c>
      <c r="C60" s="30" t="inlineStr">
        <is>
          <t>Kiran Saxena</t>
        </is>
      </c>
      <c r="D60" s="29" t="inlineStr">
        <is>
          <t>North</t>
        </is>
      </c>
      <c r="E60" s="30" t="inlineStr">
        <is>
          <t>Lucknow</t>
        </is>
      </c>
      <c r="F60" s="30" t="inlineStr">
        <is>
          <t>Skipping Rope with Digital Counter</t>
        </is>
      </c>
      <c r="G60" s="29" t="inlineStr">
        <is>
          <t>Sports</t>
        </is>
      </c>
      <c r="H60" s="31" t="n">
        <v>1</v>
      </c>
      <c r="I60" s="16" t="n">
        <v>499</v>
      </c>
      <c r="J60" s="32" t="n">
        <v>0</v>
      </c>
      <c r="K60" s="16">
        <f>H60*I60</f>
        <v/>
      </c>
      <c r="L60" s="16">
        <f>K60*J60</f>
        <v/>
      </c>
      <c r="M60" s="16">
        <f>K60-L60</f>
        <v/>
      </c>
      <c r="N60" s="16" t="n">
        <v>210</v>
      </c>
      <c r="O60" s="16">
        <f>M60-N60</f>
        <v/>
      </c>
      <c r="P60" s="17">
        <f>IFERROR(O60/M60, 0)</f>
        <v/>
      </c>
      <c r="Q60" s="29" t="inlineStr">
        <is>
          <t>Shipped</t>
        </is>
      </c>
    </row>
    <row r="61">
      <c r="A61" s="33" t="n">
        <v>32</v>
      </c>
      <c r="B61" s="33" t="inlineStr">
        <is>
          <t>2025-10-05</t>
        </is>
      </c>
      <c r="C61" s="34" t="inlineStr">
        <is>
          <t>Amit Kapoor</t>
        </is>
      </c>
      <c r="D61" s="33" t="inlineStr">
        <is>
          <t>Central</t>
        </is>
      </c>
      <c r="E61" s="34" t="inlineStr">
        <is>
          <t>Indore</t>
        </is>
      </c>
      <c r="F61" s="34" t="inlineStr">
        <is>
          <t>Fast Charging Power Bank 20000mAh</t>
        </is>
      </c>
      <c r="G61" s="33" t="inlineStr">
        <is>
          <t>Electronics</t>
        </is>
      </c>
      <c r="H61" s="35" t="n">
        <v>1</v>
      </c>
      <c r="I61" s="20" t="n">
        <v>1899</v>
      </c>
      <c r="J61" s="36" t="n">
        <v>0</v>
      </c>
      <c r="K61" s="20">
        <f>H61*I61</f>
        <v/>
      </c>
      <c r="L61" s="20">
        <f>K61*J61</f>
        <v/>
      </c>
      <c r="M61" s="20">
        <f>K61-L61</f>
        <v/>
      </c>
      <c r="N61" s="20" t="n">
        <v>1150</v>
      </c>
      <c r="O61" s="20">
        <f>M61-N61</f>
        <v/>
      </c>
      <c r="P61" s="21">
        <f>IFERROR(O61/M61, 0)</f>
        <v/>
      </c>
      <c r="Q61" s="33" t="inlineStr">
        <is>
          <t>Delivered</t>
        </is>
      </c>
    </row>
    <row r="62">
      <c r="A62" s="29" t="n">
        <v>33</v>
      </c>
      <c r="B62" s="29" t="inlineStr">
        <is>
          <t>2025-05-29</t>
        </is>
      </c>
      <c r="C62" s="30" t="inlineStr">
        <is>
          <t>Pooja Sharma</t>
        </is>
      </c>
      <c r="D62" s="29" t="inlineStr">
        <is>
          <t>West</t>
        </is>
      </c>
      <c r="E62" s="30" t="inlineStr">
        <is>
          <t>Pune</t>
        </is>
      </c>
      <c r="F62" s="30" t="inlineStr">
        <is>
          <t>Multipurpose Desk Organizer Set</t>
        </is>
      </c>
      <c r="G62" s="29" t="inlineStr">
        <is>
          <t>Home &amp; Living</t>
        </is>
      </c>
      <c r="H62" s="31" t="n">
        <v>1</v>
      </c>
      <c r="I62" s="16" t="n">
        <v>699</v>
      </c>
      <c r="J62" s="32" t="n">
        <v>0.05</v>
      </c>
      <c r="K62" s="16">
        <f>H62*I62</f>
        <v/>
      </c>
      <c r="L62" s="16">
        <f>K62*J62</f>
        <v/>
      </c>
      <c r="M62" s="16">
        <f>K62-L62</f>
        <v/>
      </c>
      <c r="N62" s="16" t="n">
        <v>290</v>
      </c>
      <c r="O62" s="16">
        <f>M62-N62</f>
        <v/>
      </c>
      <c r="P62" s="17">
        <f>IFERROR(O62/M62, 0)</f>
        <v/>
      </c>
      <c r="Q62" s="29" t="inlineStr">
        <is>
          <t>Delivered</t>
        </is>
      </c>
    </row>
    <row r="63">
      <c r="A63" s="33" t="n">
        <v>33</v>
      </c>
      <c r="B63" s="33" t="inlineStr">
        <is>
          <t>2025-05-29</t>
        </is>
      </c>
      <c r="C63" s="34" t="inlineStr">
        <is>
          <t>Pooja Sharma</t>
        </is>
      </c>
      <c r="D63" s="33" t="inlineStr">
        <is>
          <t>West</t>
        </is>
      </c>
      <c r="E63" s="34" t="inlineStr">
        <is>
          <t>Pune</t>
        </is>
      </c>
      <c r="F63" s="34" t="inlineStr">
        <is>
          <t>Lightweight Running Sports Shoes</t>
        </is>
      </c>
      <c r="G63" s="33" t="inlineStr">
        <is>
          <t>Fashion</t>
        </is>
      </c>
      <c r="H63" s="35" t="n">
        <v>2</v>
      </c>
      <c r="I63" s="20" t="n">
        <v>3199</v>
      </c>
      <c r="J63" s="36" t="n">
        <v>0.15</v>
      </c>
      <c r="K63" s="20">
        <f>H63*I63</f>
        <v/>
      </c>
      <c r="L63" s="20">
        <f>K63*J63</f>
        <v/>
      </c>
      <c r="M63" s="20">
        <f>K63-L63</f>
        <v/>
      </c>
      <c r="N63" s="20" t="n">
        <v>3000</v>
      </c>
      <c r="O63" s="20">
        <f>M63-N63</f>
        <v/>
      </c>
      <c r="P63" s="21">
        <f>IFERROR(O63/M63, 0)</f>
        <v/>
      </c>
      <c r="Q63" s="33" t="inlineStr">
        <is>
          <t>Delivered</t>
        </is>
      </c>
    </row>
    <row r="64">
      <c r="A64" s="29" t="n">
        <v>34</v>
      </c>
      <c r="B64" s="29" t="inlineStr">
        <is>
          <t>2024-12-07</t>
        </is>
      </c>
      <c r="C64" s="30" t="inlineStr">
        <is>
          <t>Swati Iyer</t>
        </is>
      </c>
      <c r="D64" s="29" t="inlineStr">
        <is>
          <t>Central</t>
        </is>
      </c>
      <c r="E64" s="30" t="inlineStr">
        <is>
          <t>Indore</t>
        </is>
      </c>
      <c r="F64" s="30" t="inlineStr">
        <is>
          <t>Unisex Classic Denim Jeans</t>
        </is>
      </c>
      <c r="G64" s="29" t="inlineStr">
        <is>
          <t>Fashion</t>
        </is>
      </c>
      <c r="H64" s="31" t="n">
        <v>2</v>
      </c>
      <c r="I64" s="16" t="n">
        <v>2499</v>
      </c>
      <c r="J64" s="32" t="n">
        <v>0.15</v>
      </c>
      <c r="K64" s="16">
        <f>H64*I64</f>
        <v/>
      </c>
      <c r="L64" s="16">
        <f>K64*J64</f>
        <v/>
      </c>
      <c r="M64" s="16">
        <f>K64-L64</f>
        <v/>
      </c>
      <c r="N64" s="16" t="n">
        <v>2200</v>
      </c>
      <c r="O64" s="16">
        <f>M64-N64</f>
        <v/>
      </c>
      <c r="P64" s="17">
        <f>IFERROR(O64/M64, 0)</f>
        <v/>
      </c>
      <c r="Q64" s="29" t="inlineStr">
        <is>
          <t>Processing</t>
        </is>
      </c>
    </row>
    <row r="65">
      <c r="A65" s="33" t="n">
        <v>35</v>
      </c>
      <c r="B65" s="33" t="inlineStr">
        <is>
          <t>2025-10-05</t>
        </is>
      </c>
      <c r="C65" s="34" t="inlineStr">
        <is>
          <t>Anjali Singh</t>
        </is>
      </c>
      <c r="D65" s="33" t="inlineStr">
        <is>
          <t>North</t>
        </is>
      </c>
      <c r="E65" s="34" t="inlineStr">
        <is>
          <t>Gurgaon</t>
        </is>
      </c>
      <c r="F65" s="34" t="inlineStr">
        <is>
          <t>Double Bed Pure Cotton Bedsheet</t>
        </is>
      </c>
      <c r="G65" s="33" t="inlineStr">
        <is>
          <t>Home &amp; Living</t>
        </is>
      </c>
      <c r="H65" s="35" t="n">
        <v>1</v>
      </c>
      <c r="I65" s="20" t="n">
        <v>1599</v>
      </c>
      <c r="J65" s="36" t="n">
        <v>0</v>
      </c>
      <c r="K65" s="20">
        <f>H65*I65</f>
        <v/>
      </c>
      <c r="L65" s="20">
        <f>K65*J65</f>
        <v/>
      </c>
      <c r="M65" s="20">
        <f>K65-L65</f>
        <v/>
      </c>
      <c r="N65" s="20" t="n">
        <v>780</v>
      </c>
      <c r="O65" s="20">
        <f>M65-N65</f>
        <v/>
      </c>
      <c r="P65" s="21">
        <f>IFERROR(O65/M65, 0)</f>
        <v/>
      </c>
      <c r="Q65" s="33" t="inlineStr">
        <is>
          <t>Cancelled</t>
        </is>
      </c>
    </row>
    <row r="66">
      <c r="A66" s="29" t="n">
        <v>35</v>
      </c>
      <c r="B66" s="29" t="inlineStr">
        <is>
          <t>2025-10-05</t>
        </is>
      </c>
      <c r="C66" s="30" t="inlineStr">
        <is>
          <t>Anjali Singh</t>
        </is>
      </c>
      <c r="D66" s="29" t="inlineStr">
        <is>
          <t>North</t>
        </is>
      </c>
      <c r="E66" s="30" t="inlineStr">
        <is>
          <t>Gurgaon</t>
        </is>
      </c>
      <c r="F66" s="30" t="inlineStr">
        <is>
          <t>Ergonomic Wireless Mouse</t>
        </is>
      </c>
      <c r="G66" s="29" t="inlineStr">
        <is>
          <t>Electronics</t>
        </is>
      </c>
      <c r="H66" s="31" t="n">
        <v>3</v>
      </c>
      <c r="I66" s="16" t="n">
        <v>1299</v>
      </c>
      <c r="J66" s="32" t="n">
        <v>0.2</v>
      </c>
      <c r="K66" s="16">
        <f>H66*I66</f>
        <v/>
      </c>
      <c r="L66" s="16">
        <f>K66*J66</f>
        <v/>
      </c>
      <c r="M66" s="16">
        <f>K66-L66</f>
        <v/>
      </c>
      <c r="N66" s="16" t="n">
        <v>2250</v>
      </c>
      <c r="O66" s="16">
        <f>M66-N66</f>
        <v/>
      </c>
      <c r="P66" s="17">
        <f>IFERROR(O66/M66, 0)</f>
        <v/>
      </c>
      <c r="Q66" s="29" t="inlineStr">
        <is>
          <t>Cancelled</t>
        </is>
      </c>
    </row>
    <row r="67">
      <c r="A67" s="33" t="n">
        <v>35</v>
      </c>
      <c r="B67" s="33" t="inlineStr">
        <is>
          <t>2025-10-05</t>
        </is>
      </c>
      <c r="C67" s="34" t="inlineStr">
        <is>
          <t>Anjali Singh</t>
        </is>
      </c>
      <c r="D67" s="33" t="inlineStr">
        <is>
          <t>North</t>
        </is>
      </c>
      <c r="E67" s="34" t="inlineStr">
        <is>
          <t>Gurgaon</t>
        </is>
      </c>
      <c r="F67" s="34" t="inlineStr">
        <is>
          <t>Cold-Pressed Extra Virgin Olive Oil 1L</t>
        </is>
      </c>
      <c r="G67" s="33" t="inlineStr">
        <is>
          <t>Groceries</t>
        </is>
      </c>
      <c r="H67" s="35" t="n">
        <v>1</v>
      </c>
      <c r="I67" s="20" t="n">
        <v>1199</v>
      </c>
      <c r="J67" s="36" t="n">
        <v>0</v>
      </c>
      <c r="K67" s="20">
        <f>H67*I67</f>
        <v/>
      </c>
      <c r="L67" s="20">
        <f>K67*J67</f>
        <v/>
      </c>
      <c r="M67" s="20">
        <f>K67-L67</f>
        <v/>
      </c>
      <c r="N67" s="20" t="n">
        <v>780</v>
      </c>
      <c r="O67" s="20">
        <f>M67-N67</f>
        <v/>
      </c>
      <c r="P67" s="21">
        <f>IFERROR(O67/M67, 0)</f>
        <v/>
      </c>
      <c r="Q67" s="33" t="inlineStr">
        <is>
          <t>Cancelled</t>
        </is>
      </c>
    </row>
    <row r="68">
      <c r="A68" s="29" t="n">
        <v>36</v>
      </c>
      <c r="B68" s="29" t="inlineStr">
        <is>
          <t>2025-04-07</t>
        </is>
      </c>
      <c r="C68" s="30" t="inlineStr">
        <is>
          <t>Manoj Singh</t>
        </is>
      </c>
      <c r="D68" s="29" t="inlineStr">
        <is>
          <t>Central</t>
        </is>
      </c>
      <c r="E68" s="30" t="inlineStr">
        <is>
          <t>Jabalpur</t>
        </is>
      </c>
      <c r="F68" s="30" t="inlineStr">
        <is>
          <t>Premium California Almonds 500g</t>
        </is>
      </c>
      <c r="G68" s="29" t="inlineStr">
        <is>
          <t>Groceries</t>
        </is>
      </c>
      <c r="H68" s="31" t="n">
        <v>1</v>
      </c>
      <c r="I68" s="16" t="n">
        <v>599</v>
      </c>
      <c r="J68" s="32" t="n">
        <v>0.1</v>
      </c>
      <c r="K68" s="16">
        <f>H68*I68</f>
        <v/>
      </c>
      <c r="L68" s="16">
        <f>K68*J68</f>
        <v/>
      </c>
      <c r="M68" s="16">
        <f>K68-L68</f>
        <v/>
      </c>
      <c r="N68" s="16" t="n">
        <v>380</v>
      </c>
      <c r="O68" s="16">
        <f>M68-N68</f>
        <v/>
      </c>
      <c r="P68" s="17">
        <f>IFERROR(O68/M68, 0)</f>
        <v/>
      </c>
      <c r="Q68" s="29" t="inlineStr">
        <is>
          <t>Shipped</t>
        </is>
      </c>
    </row>
    <row r="69">
      <c r="A69" s="33" t="n">
        <v>36</v>
      </c>
      <c r="B69" s="33" t="inlineStr">
        <is>
          <t>2025-04-07</t>
        </is>
      </c>
      <c r="C69" s="34" t="inlineStr">
        <is>
          <t>Manoj Singh</t>
        </is>
      </c>
      <c r="D69" s="33" t="inlineStr">
        <is>
          <t>Central</t>
        </is>
      </c>
      <c r="E69" s="34" t="inlineStr">
        <is>
          <t>Jabalpur</t>
        </is>
      </c>
      <c r="F69" s="34" t="inlineStr">
        <is>
          <t>Lightweight Running Sports Shoes</t>
        </is>
      </c>
      <c r="G69" s="33" t="inlineStr">
        <is>
          <t>Fashion</t>
        </is>
      </c>
      <c r="H69" s="35" t="n">
        <v>2</v>
      </c>
      <c r="I69" s="20" t="n">
        <v>3199</v>
      </c>
      <c r="J69" s="36" t="n">
        <v>0.15</v>
      </c>
      <c r="K69" s="20">
        <f>H69*I69</f>
        <v/>
      </c>
      <c r="L69" s="20">
        <f>K69*J69</f>
        <v/>
      </c>
      <c r="M69" s="20">
        <f>K69-L69</f>
        <v/>
      </c>
      <c r="N69" s="20" t="n">
        <v>3000</v>
      </c>
      <c r="O69" s="20">
        <f>M69-N69</f>
        <v/>
      </c>
      <c r="P69" s="21">
        <f>IFERROR(O69/M69, 0)</f>
        <v/>
      </c>
      <c r="Q69" s="33" t="inlineStr">
        <is>
          <t>Shipped</t>
        </is>
      </c>
    </row>
    <row r="70">
      <c r="A70" s="29" t="n">
        <v>37</v>
      </c>
      <c r="B70" s="29" t="inlineStr">
        <is>
          <t>2025-03-20</t>
        </is>
      </c>
      <c r="C70" s="30" t="inlineStr">
        <is>
          <t>Suresh Banerjee</t>
        </is>
      </c>
      <c r="D70" s="29" t="inlineStr">
        <is>
          <t>North</t>
        </is>
      </c>
      <c r="E70" s="30" t="inlineStr">
        <is>
          <t>Chandigarh</t>
        </is>
      </c>
      <c r="F70" s="30" t="inlineStr">
        <is>
          <t>Automatic Air Fryer 4.5L</t>
        </is>
      </c>
      <c r="G70" s="29" t="inlineStr">
        <is>
          <t>Home &amp; Living</t>
        </is>
      </c>
      <c r="H70" s="31" t="n">
        <v>1</v>
      </c>
      <c r="I70" s="16" t="n">
        <v>5499</v>
      </c>
      <c r="J70" s="32" t="n">
        <v>0.1</v>
      </c>
      <c r="K70" s="16">
        <f>H70*I70</f>
        <v/>
      </c>
      <c r="L70" s="16">
        <f>K70*J70</f>
        <v/>
      </c>
      <c r="M70" s="16">
        <f>K70-L70</f>
        <v/>
      </c>
      <c r="N70" s="16" t="n">
        <v>3600</v>
      </c>
      <c r="O70" s="16">
        <f>M70-N70</f>
        <v/>
      </c>
      <c r="P70" s="17">
        <f>IFERROR(O70/M70, 0)</f>
        <v/>
      </c>
      <c r="Q70" s="29" t="inlineStr">
        <is>
          <t>Shipped</t>
        </is>
      </c>
    </row>
    <row r="71">
      <c r="A71" s="33" t="n">
        <v>37</v>
      </c>
      <c r="B71" s="33" t="inlineStr">
        <is>
          <t>2025-03-20</t>
        </is>
      </c>
      <c r="C71" s="34" t="inlineStr">
        <is>
          <t>Suresh Banerjee</t>
        </is>
      </c>
      <c r="D71" s="33" t="inlineStr">
        <is>
          <t>North</t>
        </is>
      </c>
      <c r="E71" s="34" t="inlineStr">
        <is>
          <t>Chandigarh</t>
        </is>
      </c>
      <c r="F71" s="34" t="inlineStr">
        <is>
          <t>Mechanical Gaming Keyboard</t>
        </is>
      </c>
      <c r="G71" s="33" t="inlineStr">
        <is>
          <t>Electronics</t>
        </is>
      </c>
      <c r="H71" s="35" t="n">
        <v>2</v>
      </c>
      <c r="I71" s="20" t="n">
        <v>3299</v>
      </c>
      <c r="J71" s="36" t="n">
        <v>0.12</v>
      </c>
      <c r="K71" s="20">
        <f>H71*I71</f>
        <v/>
      </c>
      <c r="L71" s="20">
        <f>K71*J71</f>
        <v/>
      </c>
      <c r="M71" s="20">
        <f>K71-L71</f>
        <v/>
      </c>
      <c r="N71" s="20" t="n">
        <v>4200</v>
      </c>
      <c r="O71" s="20">
        <f>M71-N71</f>
        <v/>
      </c>
      <c r="P71" s="21">
        <f>IFERROR(O71/M71, 0)</f>
        <v/>
      </c>
      <c r="Q71" s="33" t="inlineStr">
        <is>
          <t>Shipped</t>
        </is>
      </c>
    </row>
    <row r="72">
      <c r="A72" s="29" t="n">
        <v>38</v>
      </c>
      <c r="B72" s="29" t="inlineStr">
        <is>
          <t>2024-11-14</t>
        </is>
      </c>
      <c r="C72" s="30" t="inlineStr">
        <is>
          <t>Sneha Kapoor</t>
        </is>
      </c>
      <c r="D72" s="29" t="inlineStr">
        <is>
          <t>North</t>
        </is>
      </c>
      <c r="E72" s="30" t="inlineStr">
        <is>
          <t>Jaipur</t>
        </is>
      </c>
      <c r="F72" s="30" t="inlineStr">
        <is>
          <t>Adjustable Dumbbell Set 20kg</t>
        </is>
      </c>
      <c r="G72" s="29" t="inlineStr">
        <is>
          <t>Sports</t>
        </is>
      </c>
      <c r="H72" s="31" t="n">
        <v>2</v>
      </c>
      <c r="I72" s="16" t="n">
        <v>4299</v>
      </c>
      <c r="J72" s="32" t="n">
        <v>0.12</v>
      </c>
      <c r="K72" s="16">
        <f>H72*I72</f>
        <v/>
      </c>
      <c r="L72" s="16">
        <f>K72*J72</f>
        <v/>
      </c>
      <c r="M72" s="16">
        <f>K72-L72</f>
        <v/>
      </c>
      <c r="N72" s="16" t="n">
        <v>5200</v>
      </c>
      <c r="O72" s="16">
        <f>M72-N72</f>
        <v/>
      </c>
      <c r="P72" s="17">
        <f>IFERROR(O72/M72, 0)</f>
        <v/>
      </c>
      <c r="Q72" s="29" t="inlineStr">
        <is>
          <t>Delivered</t>
        </is>
      </c>
    </row>
    <row r="73">
      <c r="A73" s="33" t="n">
        <v>39</v>
      </c>
      <c r="B73" s="33" t="inlineStr">
        <is>
          <t>2024-11-11</t>
        </is>
      </c>
      <c r="C73" s="34" t="inlineStr">
        <is>
          <t>Anjali Singh</t>
        </is>
      </c>
      <c r="D73" s="33" t="inlineStr">
        <is>
          <t>North</t>
        </is>
      </c>
      <c r="E73" s="34" t="inlineStr">
        <is>
          <t>Gurgaon</t>
        </is>
      </c>
      <c r="F73" s="34" t="inlineStr">
        <is>
          <t>Unisex Classic Denim Jeans</t>
        </is>
      </c>
      <c r="G73" s="33" t="inlineStr">
        <is>
          <t>Fashion</t>
        </is>
      </c>
      <c r="H73" s="35" t="n">
        <v>1</v>
      </c>
      <c r="I73" s="20" t="n">
        <v>2499</v>
      </c>
      <c r="J73" s="36" t="n">
        <v>0.2</v>
      </c>
      <c r="K73" s="20">
        <f>H73*I73</f>
        <v/>
      </c>
      <c r="L73" s="20">
        <f>K73*J73</f>
        <v/>
      </c>
      <c r="M73" s="20">
        <f>K73-L73</f>
        <v/>
      </c>
      <c r="N73" s="20" t="n">
        <v>1100</v>
      </c>
      <c r="O73" s="20">
        <f>M73-N73</f>
        <v/>
      </c>
      <c r="P73" s="21">
        <f>IFERROR(O73/M73, 0)</f>
        <v/>
      </c>
      <c r="Q73" s="33" t="inlineStr">
        <is>
          <t>Cancelled</t>
        </is>
      </c>
    </row>
    <row r="74">
      <c r="A74" s="29" t="n">
        <v>39</v>
      </c>
      <c r="B74" s="29" t="inlineStr">
        <is>
          <t>2024-11-11</t>
        </is>
      </c>
      <c r="C74" s="30" t="inlineStr">
        <is>
          <t>Anjali Singh</t>
        </is>
      </c>
      <c r="D74" s="29" t="inlineStr">
        <is>
          <t>North</t>
        </is>
      </c>
      <c r="E74" s="30" t="inlineStr">
        <is>
          <t>Gurgaon</t>
        </is>
      </c>
      <c r="F74" s="30" t="inlineStr">
        <is>
          <t>Premium California Almonds 500g</t>
        </is>
      </c>
      <c r="G74" s="29" t="inlineStr">
        <is>
          <t>Groceries</t>
        </is>
      </c>
      <c r="H74" s="31" t="n">
        <v>1</v>
      </c>
      <c r="I74" s="16" t="n">
        <v>599</v>
      </c>
      <c r="J74" s="32" t="n">
        <v>0.12</v>
      </c>
      <c r="K74" s="16">
        <f>H74*I74</f>
        <v/>
      </c>
      <c r="L74" s="16">
        <f>K74*J74</f>
        <v/>
      </c>
      <c r="M74" s="16">
        <f>K74-L74</f>
        <v/>
      </c>
      <c r="N74" s="16" t="n">
        <v>380</v>
      </c>
      <c r="O74" s="16">
        <f>M74-N74</f>
        <v/>
      </c>
      <c r="P74" s="17">
        <f>IFERROR(O74/M74, 0)</f>
        <v/>
      </c>
      <c r="Q74" s="29" t="inlineStr">
        <is>
          <t>Cancelled</t>
        </is>
      </c>
    </row>
    <row r="75">
      <c r="A75" s="33" t="n">
        <v>40</v>
      </c>
      <c r="B75" s="33" t="inlineStr">
        <is>
          <t>2025-06-15</t>
        </is>
      </c>
      <c r="C75" s="34" t="inlineStr">
        <is>
          <t>Swati Reddy</t>
        </is>
      </c>
      <c r="D75" s="33" t="inlineStr">
        <is>
          <t>West</t>
        </is>
      </c>
      <c r="E75" s="34" t="inlineStr">
        <is>
          <t>Mumbai</t>
        </is>
      </c>
      <c r="F75" s="34" t="inlineStr">
        <is>
          <t>Premium California Almonds 500g</t>
        </is>
      </c>
      <c r="G75" s="33" t="inlineStr">
        <is>
          <t>Groceries</t>
        </is>
      </c>
      <c r="H75" s="35" t="n">
        <v>1</v>
      </c>
      <c r="I75" s="20" t="n">
        <v>599</v>
      </c>
      <c r="J75" s="36" t="n">
        <v>0.2</v>
      </c>
      <c r="K75" s="20">
        <f>H75*I75</f>
        <v/>
      </c>
      <c r="L75" s="20">
        <f>K75*J75</f>
        <v/>
      </c>
      <c r="M75" s="20">
        <f>K75-L75</f>
        <v/>
      </c>
      <c r="N75" s="20" t="n">
        <v>380</v>
      </c>
      <c r="O75" s="20">
        <f>M75-N75</f>
        <v/>
      </c>
      <c r="P75" s="21">
        <f>IFERROR(O75/M75, 0)</f>
        <v/>
      </c>
      <c r="Q75" s="33" t="inlineStr">
        <is>
          <t>Delivered</t>
        </is>
      </c>
    </row>
    <row r="76">
      <c r="A76" s="29" t="n">
        <v>41</v>
      </c>
      <c r="B76" s="29" t="inlineStr">
        <is>
          <t>2024-12-17</t>
        </is>
      </c>
      <c r="C76" s="30" t="inlineStr">
        <is>
          <t>Nikhil Verma</t>
        </is>
      </c>
      <c r="D76" s="29" t="inlineStr">
        <is>
          <t>North</t>
        </is>
      </c>
      <c r="E76" s="30" t="inlineStr">
        <is>
          <t>Chandigarh</t>
        </is>
      </c>
      <c r="F76" s="30" t="inlineStr">
        <is>
          <t>Genuine Leather Bifold Wallet</t>
        </is>
      </c>
      <c r="G76" s="29" t="inlineStr">
        <is>
          <t>Fashion</t>
        </is>
      </c>
      <c r="H76" s="31" t="n">
        <v>1</v>
      </c>
      <c r="I76" s="16" t="n">
        <v>899</v>
      </c>
      <c r="J76" s="32" t="n">
        <v>0</v>
      </c>
      <c r="K76" s="16">
        <f>H76*I76</f>
        <v/>
      </c>
      <c r="L76" s="16">
        <f>K76*J76</f>
        <v/>
      </c>
      <c r="M76" s="16">
        <f>K76-L76</f>
        <v/>
      </c>
      <c r="N76" s="16" t="n">
        <v>380</v>
      </c>
      <c r="O76" s="16">
        <f>M76-N76</f>
        <v/>
      </c>
      <c r="P76" s="17">
        <f>IFERROR(O76/M76, 0)</f>
        <v/>
      </c>
      <c r="Q76" s="29" t="inlineStr">
        <is>
          <t>Delivered</t>
        </is>
      </c>
    </row>
    <row r="77">
      <c r="A77" s="33" t="n">
        <v>42</v>
      </c>
      <c r="B77" s="33" t="inlineStr">
        <is>
          <t>2025-04-18</t>
        </is>
      </c>
      <c r="C77" s="34" t="inlineStr">
        <is>
          <t>Kiran Joshi</t>
        </is>
      </c>
      <c r="D77" s="33" t="inlineStr">
        <is>
          <t>Central</t>
        </is>
      </c>
      <c r="E77" s="34" t="inlineStr">
        <is>
          <t>Jabalpur</t>
        </is>
      </c>
      <c r="F77" s="34" t="inlineStr">
        <is>
          <t>Lightweight Running Sports Shoes</t>
        </is>
      </c>
      <c r="G77" s="33" t="inlineStr">
        <is>
          <t>Fashion</t>
        </is>
      </c>
      <c r="H77" s="35" t="n">
        <v>3</v>
      </c>
      <c r="I77" s="20" t="n">
        <v>3199</v>
      </c>
      <c r="J77" s="36" t="n">
        <v>0.2</v>
      </c>
      <c r="K77" s="20">
        <f>H77*I77</f>
        <v/>
      </c>
      <c r="L77" s="20">
        <f>K77*J77</f>
        <v/>
      </c>
      <c r="M77" s="20">
        <f>K77-L77</f>
        <v/>
      </c>
      <c r="N77" s="20" t="n">
        <v>4500</v>
      </c>
      <c r="O77" s="20">
        <f>M77-N77</f>
        <v/>
      </c>
      <c r="P77" s="21">
        <f>IFERROR(O77/M77, 0)</f>
        <v/>
      </c>
      <c r="Q77" s="33" t="inlineStr">
        <is>
          <t>Delivered</t>
        </is>
      </c>
    </row>
    <row r="78">
      <c r="A78" s="29" t="n">
        <v>42</v>
      </c>
      <c r="B78" s="29" t="inlineStr">
        <is>
          <t>2025-04-18</t>
        </is>
      </c>
      <c r="C78" s="30" t="inlineStr">
        <is>
          <t>Kiran Joshi</t>
        </is>
      </c>
      <c r="D78" s="29" t="inlineStr">
        <is>
          <t>Central</t>
        </is>
      </c>
      <c r="E78" s="30" t="inlineStr">
        <is>
          <t>Jabalpur</t>
        </is>
      </c>
      <c r="F78" s="30" t="inlineStr">
        <is>
          <t>Adjustable Dumbbell Set 20kg</t>
        </is>
      </c>
      <c r="G78" s="29" t="inlineStr">
        <is>
          <t>Sports</t>
        </is>
      </c>
      <c r="H78" s="31" t="n">
        <v>2</v>
      </c>
      <c r="I78" s="16" t="n">
        <v>4299</v>
      </c>
      <c r="J78" s="32" t="n">
        <v>0</v>
      </c>
      <c r="K78" s="16">
        <f>H78*I78</f>
        <v/>
      </c>
      <c r="L78" s="16">
        <f>K78*J78</f>
        <v/>
      </c>
      <c r="M78" s="16">
        <f>K78-L78</f>
        <v/>
      </c>
      <c r="N78" s="16" t="n">
        <v>5200</v>
      </c>
      <c r="O78" s="16">
        <f>M78-N78</f>
        <v/>
      </c>
      <c r="P78" s="17">
        <f>IFERROR(O78/M78, 0)</f>
        <v/>
      </c>
      <c r="Q78" s="29" t="inlineStr">
        <is>
          <t>Delivered</t>
        </is>
      </c>
    </row>
    <row r="79">
      <c r="A79" s="33" t="n">
        <v>43</v>
      </c>
      <c r="B79" s="33" t="inlineStr">
        <is>
          <t>2024-12-16</t>
        </is>
      </c>
      <c r="C79" s="34" t="inlineStr">
        <is>
          <t>Swati Iyer</t>
        </is>
      </c>
      <c r="D79" s="33" t="inlineStr">
        <is>
          <t>Central</t>
        </is>
      </c>
      <c r="E79" s="34" t="inlineStr">
        <is>
          <t>Indore</t>
        </is>
      </c>
      <c r="F79" s="34" t="inlineStr">
        <is>
          <t>Ergonomic Wireless Mouse</t>
        </is>
      </c>
      <c r="G79" s="33" t="inlineStr">
        <is>
          <t>Electronics</t>
        </is>
      </c>
      <c r="H79" s="35" t="n">
        <v>4</v>
      </c>
      <c r="I79" s="20" t="n">
        <v>1299</v>
      </c>
      <c r="J79" s="36" t="n">
        <v>0.1</v>
      </c>
      <c r="K79" s="20">
        <f>H79*I79</f>
        <v/>
      </c>
      <c r="L79" s="20">
        <f>K79*J79</f>
        <v/>
      </c>
      <c r="M79" s="20">
        <f>K79-L79</f>
        <v/>
      </c>
      <c r="N79" s="20" t="n">
        <v>3000</v>
      </c>
      <c r="O79" s="20">
        <f>M79-N79</f>
        <v/>
      </c>
      <c r="P79" s="21">
        <f>IFERROR(O79/M79, 0)</f>
        <v/>
      </c>
      <c r="Q79" s="33" t="inlineStr">
        <is>
          <t>Delivered</t>
        </is>
      </c>
    </row>
    <row r="80">
      <c r="A80" s="29" t="n">
        <v>44</v>
      </c>
      <c r="B80" s="29" t="inlineStr">
        <is>
          <t>2024-11-01</t>
        </is>
      </c>
      <c r="C80" s="30" t="inlineStr">
        <is>
          <t>Aditya Rao</t>
        </is>
      </c>
      <c r="D80" s="29" t="inlineStr">
        <is>
          <t>East</t>
        </is>
      </c>
      <c r="E80" s="30" t="inlineStr">
        <is>
          <t>Guwahati</t>
        </is>
      </c>
      <c r="F80" s="30" t="inlineStr">
        <is>
          <t>Automatic Air Fryer 4.5L</t>
        </is>
      </c>
      <c r="G80" s="29" t="inlineStr">
        <is>
          <t>Home &amp; Living</t>
        </is>
      </c>
      <c r="H80" s="31" t="n">
        <v>1</v>
      </c>
      <c r="I80" s="16" t="n">
        <v>5499</v>
      </c>
      <c r="J80" s="32" t="n">
        <v>0.05</v>
      </c>
      <c r="K80" s="16">
        <f>H80*I80</f>
        <v/>
      </c>
      <c r="L80" s="16">
        <f>K80*J80</f>
        <v/>
      </c>
      <c r="M80" s="16">
        <f>K80-L80</f>
        <v/>
      </c>
      <c r="N80" s="16" t="n">
        <v>3600</v>
      </c>
      <c r="O80" s="16">
        <f>M80-N80</f>
        <v/>
      </c>
      <c r="P80" s="17">
        <f>IFERROR(O80/M80, 0)</f>
        <v/>
      </c>
      <c r="Q80" s="29" t="inlineStr">
        <is>
          <t>Processing</t>
        </is>
      </c>
    </row>
    <row r="81">
      <c r="A81" s="33" t="n">
        <v>44</v>
      </c>
      <c r="B81" s="33" t="inlineStr">
        <is>
          <t>2024-11-01</t>
        </is>
      </c>
      <c r="C81" s="34" t="inlineStr">
        <is>
          <t>Aditya Rao</t>
        </is>
      </c>
      <c r="D81" s="33" t="inlineStr">
        <is>
          <t>East</t>
        </is>
      </c>
      <c r="E81" s="34" t="inlineStr">
        <is>
          <t>Guwahati</t>
        </is>
      </c>
      <c r="F81" s="34" t="inlineStr">
        <is>
          <t>Double Bed Pure Cotton Bedsheet</t>
        </is>
      </c>
      <c r="G81" s="33" t="inlineStr">
        <is>
          <t>Home &amp; Living</t>
        </is>
      </c>
      <c r="H81" s="35" t="n">
        <v>2</v>
      </c>
      <c r="I81" s="20" t="n">
        <v>1599</v>
      </c>
      <c r="J81" s="36" t="n">
        <v>0.1</v>
      </c>
      <c r="K81" s="20">
        <f>H81*I81</f>
        <v/>
      </c>
      <c r="L81" s="20">
        <f>K81*J81</f>
        <v/>
      </c>
      <c r="M81" s="20">
        <f>K81-L81</f>
        <v/>
      </c>
      <c r="N81" s="20" t="n">
        <v>1560</v>
      </c>
      <c r="O81" s="20">
        <f>M81-N81</f>
        <v/>
      </c>
      <c r="P81" s="21">
        <f>IFERROR(O81/M81, 0)</f>
        <v/>
      </c>
      <c r="Q81" s="33" t="inlineStr">
        <is>
          <t>Processing</t>
        </is>
      </c>
    </row>
    <row r="82">
      <c r="A82" s="29" t="n">
        <v>44</v>
      </c>
      <c r="B82" s="29" t="inlineStr">
        <is>
          <t>2024-11-01</t>
        </is>
      </c>
      <c r="C82" s="30" t="inlineStr">
        <is>
          <t>Aditya Rao</t>
        </is>
      </c>
      <c r="D82" s="29" t="inlineStr">
        <is>
          <t>East</t>
        </is>
      </c>
      <c r="E82" s="30" t="inlineStr">
        <is>
          <t>Guwahati</t>
        </is>
      </c>
      <c r="F82" s="30" t="inlineStr">
        <is>
          <t>Wireless Noise-Cancelling Headphones</t>
        </is>
      </c>
      <c r="G82" s="29" t="inlineStr">
        <is>
          <t>Electronics</t>
        </is>
      </c>
      <c r="H82" s="31" t="n">
        <v>2</v>
      </c>
      <c r="I82" s="16" t="n">
        <v>7499</v>
      </c>
      <c r="J82" s="32" t="n">
        <v>0.2</v>
      </c>
      <c r="K82" s="16">
        <f>H82*I82</f>
        <v/>
      </c>
      <c r="L82" s="16">
        <f>K82*J82</f>
        <v/>
      </c>
      <c r="M82" s="16">
        <f>K82-L82</f>
        <v/>
      </c>
      <c r="N82" s="16" t="n">
        <v>9600</v>
      </c>
      <c r="O82" s="16">
        <f>M82-N82</f>
        <v/>
      </c>
      <c r="P82" s="17">
        <f>IFERROR(O82/M82, 0)</f>
        <v/>
      </c>
      <c r="Q82" s="29" t="inlineStr">
        <is>
          <t>Processing</t>
        </is>
      </c>
    </row>
    <row r="83">
      <c r="A83" s="33" t="n">
        <v>45</v>
      </c>
      <c r="B83" s="33" t="inlineStr">
        <is>
          <t>2025-02-13</t>
        </is>
      </c>
      <c r="C83" s="34" t="inlineStr">
        <is>
          <t>Kavita Nair</t>
        </is>
      </c>
      <c r="D83" s="33" t="inlineStr">
        <is>
          <t>West</t>
        </is>
      </c>
      <c r="E83" s="34" t="inlineStr">
        <is>
          <t>Mumbai</t>
        </is>
      </c>
      <c r="F83" s="34" t="inlineStr">
        <is>
          <t>Lightweight Running Sports Shoes</t>
        </is>
      </c>
      <c r="G83" s="33" t="inlineStr">
        <is>
          <t>Fashion</t>
        </is>
      </c>
      <c r="H83" s="35" t="n">
        <v>3</v>
      </c>
      <c r="I83" s="20" t="n">
        <v>3199</v>
      </c>
      <c r="J83" s="36" t="n">
        <v>0.1</v>
      </c>
      <c r="K83" s="20">
        <f>H83*I83</f>
        <v/>
      </c>
      <c r="L83" s="20">
        <f>K83*J83</f>
        <v/>
      </c>
      <c r="M83" s="20">
        <f>K83-L83</f>
        <v/>
      </c>
      <c r="N83" s="20" t="n">
        <v>4500</v>
      </c>
      <c r="O83" s="20">
        <f>M83-N83</f>
        <v/>
      </c>
      <c r="P83" s="21">
        <f>IFERROR(O83/M83, 0)</f>
        <v/>
      </c>
      <c r="Q83" s="33" t="inlineStr">
        <is>
          <t>Delivered</t>
        </is>
      </c>
    </row>
    <row r="84">
      <c r="A84" s="29" t="n">
        <v>45</v>
      </c>
      <c r="B84" s="29" t="inlineStr">
        <is>
          <t>2025-02-13</t>
        </is>
      </c>
      <c r="C84" s="30" t="inlineStr">
        <is>
          <t>Kavita Nair</t>
        </is>
      </c>
      <c r="D84" s="29" t="inlineStr">
        <is>
          <t>West</t>
        </is>
      </c>
      <c r="E84" s="30" t="inlineStr">
        <is>
          <t>Mumbai</t>
        </is>
      </c>
      <c r="F84" s="30" t="inlineStr">
        <is>
          <t>Automatic Air Fryer 4.5L</t>
        </is>
      </c>
      <c r="G84" s="29" t="inlineStr">
        <is>
          <t>Home &amp; Living</t>
        </is>
      </c>
      <c r="H84" s="31" t="n">
        <v>1</v>
      </c>
      <c r="I84" s="16" t="n">
        <v>5499</v>
      </c>
      <c r="J84" s="32" t="n">
        <v>0.15</v>
      </c>
      <c r="K84" s="16">
        <f>H84*I84</f>
        <v/>
      </c>
      <c r="L84" s="16">
        <f>K84*J84</f>
        <v/>
      </c>
      <c r="M84" s="16">
        <f>K84-L84</f>
        <v/>
      </c>
      <c r="N84" s="16" t="n">
        <v>3600</v>
      </c>
      <c r="O84" s="16">
        <f>M84-N84</f>
        <v/>
      </c>
      <c r="P84" s="17">
        <f>IFERROR(O84/M84, 0)</f>
        <v/>
      </c>
      <c r="Q84" s="29" t="inlineStr">
        <is>
          <t>Delivered</t>
        </is>
      </c>
    </row>
    <row r="85">
      <c r="A85" s="33" t="n">
        <v>46</v>
      </c>
      <c r="B85" s="33" t="inlineStr">
        <is>
          <t>2025-03-03</t>
        </is>
      </c>
      <c r="C85" s="34" t="inlineStr">
        <is>
          <t>Sunil Saxena</t>
        </is>
      </c>
      <c r="D85" s="33" t="inlineStr">
        <is>
          <t>East</t>
        </is>
      </c>
      <c r="E85" s="34" t="inlineStr">
        <is>
          <t>Guwahati</t>
        </is>
      </c>
      <c r="F85" s="34" t="inlineStr">
        <is>
          <t>Cold-Pressed Extra Virgin Olive Oil 1L</t>
        </is>
      </c>
      <c r="G85" s="33" t="inlineStr">
        <is>
          <t>Groceries</t>
        </is>
      </c>
      <c r="H85" s="35" t="n">
        <v>1</v>
      </c>
      <c r="I85" s="20" t="n">
        <v>1199</v>
      </c>
      <c r="J85" s="36" t="n">
        <v>0.1</v>
      </c>
      <c r="K85" s="20">
        <f>H85*I85</f>
        <v/>
      </c>
      <c r="L85" s="20">
        <f>K85*J85</f>
        <v/>
      </c>
      <c r="M85" s="20">
        <f>K85-L85</f>
        <v/>
      </c>
      <c r="N85" s="20" t="n">
        <v>780</v>
      </c>
      <c r="O85" s="20">
        <f>M85-N85</f>
        <v/>
      </c>
      <c r="P85" s="21">
        <f>IFERROR(O85/M85, 0)</f>
        <v/>
      </c>
      <c r="Q85" s="33" t="inlineStr">
        <is>
          <t>Processing</t>
        </is>
      </c>
    </row>
    <row r="86">
      <c r="A86" s="29" t="n">
        <v>47</v>
      </c>
      <c r="B86" s="29" t="inlineStr">
        <is>
          <t>2025-02-24</t>
        </is>
      </c>
      <c r="C86" s="30" t="inlineStr">
        <is>
          <t>Aditya Verma</t>
        </is>
      </c>
      <c r="D86" s="29" t="inlineStr">
        <is>
          <t>South</t>
        </is>
      </c>
      <c r="E86" s="30" t="inlineStr">
        <is>
          <t>Bengaluru</t>
        </is>
      </c>
      <c r="F86" s="30" t="inlineStr">
        <is>
          <t>Automatic Air Fryer 4.5L</t>
        </is>
      </c>
      <c r="G86" s="29" t="inlineStr">
        <is>
          <t>Home &amp; Living</t>
        </is>
      </c>
      <c r="H86" s="31" t="n">
        <v>2</v>
      </c>
      <c r="I86" s="16" t="n">
        <v>5499</v>
      </c>
      <c r="J86" s="32" t="n">
        <v>0.1</v>
      </c>
      <c r="K86" s="16">
        <f>H86*I86</f>
        <v/>
      </c>
      <c r="L86" s="16">
        <f>K86*J86</f>
        <v/>
      </c>
      <c r="M86" s="16">
        <f>K86-L86</f>
        <v/>
      </c>
      <c r="N86" s="16" t="n">
        <v>7200</v>
      </c>
      <c r="O86" s="16">
        <f>M86-N86</f>
        <v/>
      </c>
      <c r="P86" s="17">
        <f>IFERROR(O86/M86, 0)</f>
        <v/>
      </c>
      <c r="Q86" s="29" t="inlineStr">
        <is>
          <t>Cancelled</t>
        </is>
      </c>
    </row>
    <row r="87">
      <c r="A87" s="33" t="n">
        <v>47</v>
      </c>
      <c r="B87" s="33" t="inlineStr">
        <is>
          <t>2025-02-24</t>
        </is>
      </c>
      <c r="C87" s="34" t="inlineStr">
        <is>
          <t>Aditya Verma</t>
        </is>
      </c>
      <c r="D87" s="33" t="inlineStr">
        <is>
          <t>South</t>
        </is>
      </c>
      <c r="E87" s="34" t="inlineStr">
        <is>
          <t>Bengaluru</t>
        </is>
      </c>
      <c r="F87" s="34" t="inlineStr">
        <is>
          <t>Ergonomic Wireless Mouse</t>
        </is>
      </c>
      <c r="G87" s="33" t="inlineStr">
        <is>
          <t>Electronics</t>
        </is>
      </c>
      <c r="H87" s="35" t="n">
        <v>3</v>
      </c>
      <c r="I87" s="20" t="n">
        <v>1299</v>
      </c>
      <c r="J87" s="36" t="n">
        <v>0.05</v>
      </c>
      <c r="K87" s="20">
        <f>H87*I87</f>
        <v/>
      </c>
      <c r="L87" s="20">
        <f>K87*J87</f>
        <v/>
      </c>
      <c r="M87" s="20">
        <f>K87-L87</f>
        <v/>
      </c>
      <c r="N87" s="20" t="n">
        <v>2250</v>
      </c>
      <c r="O87" s="20">
        <f>M87-N87</f>
        <v/>
      </c>
      <c r="P87" s="21">
        <f>IFERROR(O87/M87, 0)</f>
        <v/>
      </c>
      <c r="Q87" s="33" t="inlineStr">
        <is>
          <t>Cancelled</t>
        </is>
      </c>
    </row>
    <row r="88">
      <c r="A88" s="29" t="n">
        <v>47</v>
      </c>
      <c r="B88" s="29" t="inlineStr">
        <is>
          <t>2025-02-24</t>
        </is>
      </c>
      <c r="C88" s="30" t="inlineStr">
        <is>
          <t>Aditya Verma</t>
        </is>
      </c>
      <c r="D88" s="29" t="inlineStr">
        <is>
          <t>South</t>
        </is>
      </c>
      <c r="E88" s="30" t="inlineStr">
        <is>
          <t>Bengaluru</t>
        </is>
      </c>
      <c r="F88" s="30" t="inlineStr">
        <is>
          <t>Anti-Skid Yoga Mat 6mm</t>
        </is>
      </c>
      <c r="G88" s="29" t="inlineStr">
        <is>
          <t>Sports</t>
        </is>
      </c>
      <c r="H88" s="31" t="n">
        <v>1</v>
      </c>
      <c r="I88" s="16" t="n">
        <v>999</v>
      </c>
      <c r="J88" s="32" t="n">
        <v>0.05</v>
      </c>
      <c r="K88" s="16">
        <f>H88*I88</f>
        <v/>
      </c>
      <c r="L88" s="16">
        <f>K88*J88</f>
        <v/>
      </c>
      <c r="M88" s="16">
        <f>K88-L88</f>
        <v/>
      </c>
      <c r="N88" s="16" t="n">
        <v>480</v>
      </c>
      <c r="O88" s="16">
        <f>M88-N88</f>
        <v/>
      </c>
      <c r="P88" s="17">
        <f>IFERROR(O88/M88, 0)</f>
        <v/>
      </c>
      <c r="Q88" s="29" t="inlineStr">
        <is>
          <t>Cancelled</t>
        </is>
      </c>
    </row>
    <row r="89">
      <c r="A89" s="33" t="n">
        <v>48</v>
      </c>
      <c r="B89" s="33" t="inlineStr">
        <is>
          <t>2025-07-06</t>
        </is>
      </c>
      <c r="C89" s="34" t="inlineStr">
        <is>
          <t>Kavita Nair</t>
        </is>
      </c>
      <c r="D89" s="33" t="inlineStr">
        <is>
          <t>West</t>
        </is>
      </c>
      <c r="E89" s="34" t="inlineStr">
        <is>
          <t>Pune</t>
        </is>
      </c>
      <c r="F89" s="34" t="inlineStr">
        <is>
          <t>Cold-Pressed Extra Virgin Olive Oil 1L</t>
        </is>
      </c>
      <c r="G89" s="33" t="inlineStr">
        <is>
          <t>Groceries</t>
        </is>
      </c>
      <c r="H89" s="35" t="n">
        <v>1</v>
      </c>
      <c r="I89" s="20" t="n">
        <v>1199</v>
      </c>
      <c r="J89" s="36" t="n">
        <v>0</v>
      </c>
      <c r="K89" s="20">
        <f>H89*I89</f>
        <v/>
      </c>
      <c r="L89" s="20">
        <f>K89*J89</f>
        <v/>
      </c>
      <c r="M89" s="20">
        <f>K89-L89</f>
        <v/>
      </c>
      <c r="N89" s="20" t="n">
        <v>780</v>
      </c>
      <c r="O89" s="20">
        <f>M89-N89</f>
        <v/>
      </c>
      <c r="P89" s="21">
        <f>IFERROR(O89/M89, 0)</f>
        <v/>
      </c>
      <c r="Q89" s="33" t="inlineStr">
        <is>
          <t>Delivered</t>
        </is>
      </c>
    </row>
    <row r="90">
      <c r="A90" s="29" t="n">
        <v>49</v>
      </c>
      <c r="B90" s="29" t="inlineStr">
        <is>
          <t>2025-07-19</t>
        </is>
      </c>
      <c r="C90" s="30" t="inlineStr">
        <is>
          <t>Rohit Mehta</t>
        </is>
      </c>
      <c r="D90" s="29" t="inlineStr">
        <is>
          <t>South</t>
        </is>
      </c>
      <c r="E90" s="30" t="inlineStr">
        <is>
          <t>Chennai</t>
        </is>
      </c>
      <c r="F90" s="30" t="inlineStr">
        <is>
          <t>Mechanical Gaming Keyboard</t>
        </is>
      </c>
      <c r="G90" s="29" t="inlineStr">
        <is>
          <t>Electronics</t>
        </is>
      </c>
      <c r="H90" s="31" t="n">
        <v>1</v>
      </c>
      <c r="I90" s="16" t="n">
        <v>3299</v>
      </c>
      <c r="J90" s="32" t="n">
        <v>0.2</v>
      </c>
      <c r="K90" s="16">
        <f>H90*I90</f>
        <v/>
      </c>
      <c r="L90" s="16">
        <f>K90*J90</f>
        <v/>
      </c>
      <c r="M90" s="16">
        <f>K90-L90</f>
        <v/>
      </c>
      <c r="N90" s="16" t="n">
        <v>2100</v>
      </c>
      <c r="O90" s="16">
        <f>M90-N90</f>
        <v/>
      </c>
      <c r="P90" s="17">
        <f>IFERROR(O90/M90, 0)</f>
        <v/>
      </c>
      <c r="Q90" s="29" t="inlineStr">
        <is>
          <t>Processing</t>
        </is>
      </c>
    </row>
    <row r="91">
      <c r="A91" s="33" t="n">
        <v>49</v>
      </c>
      <c r="B91" s="33" t="inlineStr">
        <is>
          <t>2025-07-19</t>
        </is>
      </c>
      <c r="C91" s="34" t="inlineStr">
        <is>
          <t>Rohit Mehta</t>
        </is>
      </c>
      <c r="D91" s="33" t="inlineStr">
        <is>
          <t>South</t>
        </is>
      </c>
      <c r="E91" s="34" t="inlineStr">
        <is>
          <t>Chennai</t>
        </is>
      </c>
      <c r="F91" s="34" t="inlineStr">
        <is>
          <t>Unisex Classic Denim Jeans</t>
        </is>
      </c>
      <c r="G91" s="33" t="inlineStr">
        <is>
          <t>Fashion</t>
        </is>
      </c>
      <c r="H91" s="35" t="n">
        <v>1</v>
      </c>
      <c r="I91" s="20" t="n">
        <v>2499</v>
      </c>
      <c r="J91" s="36" t="n">
        <v>0.2</v>
      </c>
      <c r="K91" s="20">
        <f>H91*I91</f>
        <v/>
      </c>
      <c r="L91" s="20">
        <f>K91*J91</f>
        <v/>
      </c>
      <c r="M91" s="20">
        <f>K91-L91</f>
        <v/>
      </c>
      <c r="N91" s="20" t="n">
        <v>1100</v>
      </c>
      <c r="O91" s="20">
        <f>M91-N91</f>
        <v/>
      </c>
      <c r="P91" s="21">
        <f>IFERROR(O91/M91, 0)</f>
        <v/>
      </c>
      <c r="Q91" s="33" t="inlineStr">
        <is>
          <t>Processing</t>
        </is>
      </c>
    </row>
    <row r="92">
      <c r="A92" s="29" t="n">
        <v>49</v>
      </c>
      <c r="B92" s="29" t="inlineStr">
        <is>
          <t>2025-07-19</t>
        </is>
      </c>
      <c r="C92" s="30" t="inlineStr">
        <is>
          <t>Rohit Mehta</t>
        </is>
      </c>
      <c r="D92" s="29" t="inlineStr">
        <is>
          <t>South</t>
        </is>
      </c>
      <c r="E92" s="30" t="inlineStr">
        <is>
          <t>Chennai</t>
        </is>
      </c>
      <c r="F92" s="30" t="inlineStr">
        <is>
          <t>Double Bed Pure Cotton Bedsheet</t>
        </is>
      </c>
      <c r="G92" s="29" t="inlineStr">
        <is>
          <t>Home &amp; Living</t>
        </is>
      </c>
      <c r="H92" s="31" t="n">
        <v>1</v>
      </c>
      <c r="I92" s="16" t="n">
        <v>1599</v>
      </c>
      <c r="J92" s="32" t="n">
        <v>0.15</v>
      </c>
      <c r="K92" s="16">
        <f>H92*I92</f>
        <v/>
      </c>
      <c r="L92" s="16">
        <f>K92*J92</f>
        <v/>
      </c>
      <c r="M92" s="16">
        <f>K92-L92</f>
        <v/>
      </c>
      <c r="N92" s="16" t="n">
        <v>780</v>
      </c>
      <c r="O92" s="16">
        <f>M92-N92</f>
        <v/>
      </c>
      <c r="P92" s="17">
        <f>IFERROR(O92/M92, 0)</f>
        <v/>
      </c>
      <c r="Q92" s="29" t="inlineStr">
        <is>
          <t>Processing</t>
        </is>
      </c>
    </row>
    <row r="93">
      <c r="A93" s="33" t="n">
        <v>50</v>
      </c>
      <c r="B93" s="33" t="inlineStr">
        <is>
          <t>2025-08-28</t>
        </is>
      </c>
      <c r="C93" s="34" t="inlineStr">
        <is>
          <t>Kiran Gupta</t>
        </is>
      </c>
      <c r="D93" s="33" t="inlineStr">
        <is>
          <t>North</t>
        </is>
      </c>
      <c r="E93" s="34" t="inlineStr">
        <is>
          <t>Delhi</t>
        </is>
      </c>
      <c r="F93" s="34" t="inlineStr">
        <is>
          <t>Multipurpose Desk Organizer Set</t>
        </is>
      </c>
      <c r="G93" s="33" t="inlineStr">
        <is>
          <t>Home &amp; Living</t>
        </is>
      </c>
      <c r="H93" s="35" t="n">
        <v>1</v>
      </c>
      <c r="I93" s="20" t="n">
        <v>699</v>
      </c>
      <c r="J93" s="36" t="n">
        <v>0.05</v>
      </c>
      <c r="K93" s="20">
        <f>H93*I93</f>
        <v/>
      </c>
      <c r="L93" s="20">
        <f>K93*J93</f>
        <v/>
      </c>
      <c r="M93" s="20">
        <f>K93-L93</f>
        <v/>
      </c>
      <c r="N93" s="20" t="n">
        <v>290</v>
      </c>
      <c r="O93" s="20">
        <f>M93-N93</f>
        <v/>
      </c>
      <c r="P93" s="21">
        <f>IFERROR(O93/M93, 0)</f>
        <v/>
      </c>
      <c r="Q93" s="33" t="inlineStr">
        <is>
          <t>Shipped</t>
        </is>
      </c>
    </row>
    <row r="94">
      <c r="A94" s="29" t="n">
        <v>50</v>
      </c>
      <c r="B94" s="29" t="inlineStr">
        <is>
          <t>2025-08-28</t>
        </is>
      </c>
      <c r="C94" s="30" t="inlineStr">
        <is>
          <t>Kiran Gupta</t>
        </is>
      </c>
      <c r="D94" s="29" t="inlineStr">
        <is>
          <t>North</t>
        </is>
      </c>
      <c r="E94" s="30" t="inlineStr">
        <is>
          <t>Delhi</t>
        </is>
      </c>
      <c r="F94" s="30" t="inlineStr">
        <is>
          <t>Smart Fitness Watch Pro</t>
        </is>
      </c>
      <c r="G94" s="29" t="inlineStr">
        <is>
          <t>Electronics</t>
        </is>
      </c>
      <c r="H94" s="31" t="n">
        <v>1</v>
      </c>
      <c r="I94" s="16" t="n">
        <v>4999</v>
      </c>
      <c r="J94" s="32" t="n">
        <v>0.12</v>
      </c>
      <c r="K94" s="16">
        <f>H94*I94</f>
        <v/>
      </c>
      <c r="L94" s="16">
        <f>K94*J94</f>
        <v/>
      </c>
      <c r="M94" s="16">
        <f>K94-L94</f>
        <v/>
      </c>
      <c r="N94" s="16" t="n">
        <v>3200</v>
      </c>
      <c r="O94" s="16">
        <f>M94-N94</f>
        <v/>
      </c>
      <c r="P94" s="17">
        <f>IFERROR(O94/M94, 0)</f>
        <v/>
      </c>
      <c r="Q94" s="29" t="inlineStr">
        <is>
          <t>Shipped</t>
        </is>
      </c>
    </row>
    <row r="95">
      <c r="A95" s="33" t="n">
        <v>50</v>
      </c>
      <c r="B95" s="33" t="inlineStr">
        <is>
          <t>2025-08-28</t>
        </is>
      </c>
      <c r="C95" s="34" t="inlineStr">
        <is>
          <t>Kiran Gupta</t>
        </is>
      </c>
      <c r="D95" s="33" t="inlineStr">
        <is>
          <t>North</t>
        </is>
      </c>
      <c r="E95" s="34" t="inlineStr">
        <is>
          <t>Delhi</t>
        </is>
      </c>
      <c r="F95" s="34" t="inlineStr">
        <is>
          <t>Automatic Air Fryer 4.5L</t>
        </is>
      </c>
      <c r="G95" s="33" t="inlineStr">
        <is>
          <t>Home &amp; Living</t>
        </is>
      </c>
      <c r="H95" s="35" t="n">
        <v>1</v>
      </c>
      <c r="I95" s="20" t="n">
        <v>5499</v>
      </c>
      <c r="J95" s="36" t="n">
        <v>0.05</v>
      </c>
      <c r="K95" s="20">
        <f>H95*I95</f>
        <v/>
      </c>
      <c r="L95" s="20">
        <f>K95*J95</f>
        <v/>
      </c>
      <c r="M95" s="20">
        <f>K95-L95</f>
        <v/>
      </c>
      <c r="N95" s="20" t="n">
        <v>3600</v>
      </c>
      <c r="O95" s="20">
        <f>M95-N95</f>
        <v/>
      </c>
      <c r="P95" s="21">
        <f>IFERROR(O95/M95, 0)</f>
        <v/>
      </c>
      <c r="Q95" s="33" t="inlineStr">
        <is>
          <t>Shipped</t>
        </is>
      </c>
    </row>
    <row r="96">
      <c r="A96" s="29" t="n">
        <v>50</v>
      </c>
      <c r="B96" s="29" t="inlineStr">
        <is>
          <t>2025-08-28</t>
        </is>
      </c>
      <c r="C96" s="30" t="inlineStr">
        <is>
          <t>Kiran Gupta</t>
        </is>
      </c>
      <c r="D96" s="29" t="inlineStr">
        <is>
          <t>North</t>
        </is>
      </c>
      <c r="E96" s="30" t="inlineStr">
        <is>
          <t>Delhi</t>
        </is>
      </c>
      <c r="F96" s="30" t="inlineStr">
        <is>
          <t>Cold-Pressed Extra Virgin Olive Oil 1L</t>
        </is>
      </c>
      <c r="G96" s="29" t="inlineStr">
        <is>
          <t>Groceries</t>
        </is>
      </c>
      <c r="H96" s="31" t="n">
        <v>3</v>
      </c>
      <c r="I96" s="16" t="n">
        <v>1199</v>
      </c>
      <c r="J96" s="32" t="n">
        <v>0.15</v>
      </c>
      <c r="K96" s="16">
        <f>H96*I96</f>
        <v/>
      </c>
      <c r="L96" s="16">
        <f>K96*J96</f>
        <v/>
      </c>
      <c r="M96" s="16">
        <f>K96-L96</f>
        <v/>
      </c>
      <c r="N96" s="16" t="n">
        <v>2340</v>
      </c>
      <c r="O96" s="16">
        <f>M96-N96</f>
        <v/>
      </c>
      <c r="P96" s="17">
        <f>IFERROR(O96/M96, 0)</f>
        <v/>
      </c>
      <c r="Q96" s="29" t="inlineStr">
        <is>
          <t>Shipped</t>
        </is>
      </c>
    </row>
    <row r="97">
      <c r="A97" s="33" t="n">
        <v>51</v>
      </c>
      <c r="B97" s="33" t="inlineStr">
        <is>
          <t>2025-08-20</t>
        </is>
      </c>
      <c r="C97" s="34" t="inlineStr">
        <is>
          <t>Ishaan Sharma</t>
        </is>
      </c>
      <c r="D97" s="33" t="inlineStr">
        <is>
          <t>North</t>
        </is>
      </c>
      <c r="E97" s="34" t="inlineStr">
        <is>
          <t>Gurgaon</t>
        </is>
      </c>
      <c r="F97" s="34" t="inlineStr">
        <is>
          <t>Double Bed Pure Cotton Bedsheet</t>
        </is>
      </c>
      <c r="G97" s="33" t="inlineStr">
        <is>
          <t>Home &amp; Living</t>
        </is>
      </c>
      <c r="H97" s="35" t="n">
        <v>1</v>
      </c>
      <c r="I97" s="20" t="n">
        <v>1599</v>
      </c>
      <c r="J97" s="36" t="n">
        <v>0.15</v>
      </c>
      <c r="K97" s="20">
        <f>H97*I97</f>
        <v/>
      </c>
      <c r="L97" s="20">
        <f>K97*J97</f>
        <v/>
      </c>
      <c r="M97" s="20">
        <f>K97-L97</f>
        <v/>
      </c>
      <c r="N97" s="20" t="n">
        <v>780</v>
      </c>
      <c r="O97" s="20">
        <f>M97-N97</f>
        <v/>
      </c>
      <c r="P97" s="21">
        <f>IFERROR(O97/M97, 0)</f>
        <v/>
      </c>
      <c r="Q97" s="33" t="inlineStr">
        <is>
          <t>Delivered</t>
        </is>
      </c>
    </row>
    <row r="98">
      <c r="A98" s="29" t="n">
        <v>52</v>
      </c>
      <c r="B98" s="29" t="inlineStr">
        <is>
          <t>2025-05-15</t>
        </is>
      </c>
      <c r="C98" s="30" t="inlineStr">
        <is>
          <t>Nikhil Deshmukh</t>
        </is>
      </c>
      <c r="D98" s="29" t="inlineStr">
        <is>
          <t>South</t>
        </is>
      </c>
      <c r="E98" s="30" t="inlineStr">
        <is>
          <t>Hyderabad</t>
        </is>
      </c>
      <c r="F98" s="30" t="inlineStr">
        <is>
          <t>Anti-Skid Yoga Mat 6mm</t>
        </is>
      </c>
      <c r="G98" s="29" t="inlineStr">
        <is>
          <t>Sports</t>
        </is>
      </c>
      <c r="H98" s="31" t="n">
        <v>1</v>
      </c>
      <c r="I98" s="16" t="n">
        <v>999</v>
      </c>
      <c r="J98" s="32" t="n">
        <v>0.12</v>
      </c>
      <c r="K98" s="16">
        <f>H98*I98</f>
        <v/>
      </c>
      <c r="L98" s="16">
        <f>K98*J98</f>
        <v/>
      </c>
      <c r="M98" s="16">
        <f>K98-L98</f>
        <v/>
      </c>
      <c r="N98" s="16" t="n">
        <v>480</v>
      </c>
      <c r="O98" s="16">
        <f>M98-N98</f>
        <v/>
      </c>
      <c r="P98" s="17">
        <f>IFERROR(O98/M98, 0)</f>
        <v/>
      </c>
      <c r="Q98" s="29" t="inlineStr">
        <is>
          <t>Delivered</t>
        </is>
      </c>
    </row>
    <row r="99">
      <c r="A99" s="33" t="n">
        <v>52</v>
      </c>
      <c r="B99" s="33" t="inlineStr">
        <is>
          <t>2025-05-15</t>
        </is>
      </c>
      <c r="C99" s="34" t="inlineStr">
        <is>
          <t>Nikhil Deshmukh</t>
        </is>
      </c>
      <c r="D99" s="33" t="inlineStr">
        <is>
          <t>South</t>
        </is>
      </c>
      <c r="E99" s="34" t="inlineStr">
        <is>
          <t>Hyderabad</t>
        </is>
      </c>
      <c r="F99" s="34" t="inlineStr">
        <is>
          <t>Smart Fitness Watch Pro</t>
        </is>
      </c>
      <c r="G99" s="33" t="inlineStr">
        <is>
          <t>Electronics</t>
        </is>
      </c>
      <c r="H99" s="35" t="n">
        <v>1</v>
      </c>
      <c r="I99" s="20" t="n">
        <v>4999</v>
      </c>
      <c r="J99" s="36" t="n">
        <v>0</v>
      </c>
      <c r="K99" s="20">
        <f>H99*I99</f>
        <v/>
      </c>
      <c r="L99" s="20">
        <f>K99*J99</f>
        <v/>
      </c>
      <c r="M99" s="20">
        <f>K99-L99</f>
        <v/>
      </c>
      <c r="N99" s="20" t="n">
        <v>3200</v>
      </c>
      <c r="O99" s="20">
        <f>M99-N99</f>
        <v/>
      </c>
      <c r="P99" s="21">
        <f>IFERROR(O99/M99, 0)</f>
        <v/>
      </c>
      <c r="Q99" s="33" t="inlineStr">
        <is>
          <t>Delivered</t>
        </is>
      </c>
    </row>
    <row r="100">
      <c r="A100" s="29" t="n">
        <v>52</v>
      </c>
      <c r="B100" s="29" t="inlineStr">
        <is>
          <t>2025-05-15</t>
        </is>
      </c>
      <c r="C100" s="30" t="inlineStr">
        <is>
          <t>Nikhil Deshmukh</t>
        </is>
      </c>
      <c r="D100" s="29" t="inlineStr">
        <is>
          <t>South</t>
        </is>
      </c>
      <c r="E100" s="30" t="inlineStr">
        <is>
          <t>Hyderabad</t>
        </is>
      </c>
      <c r="F100" s="30" t="inlineStr">
        <is>
          <t>Multipurpose Desk Organizer Set</t>
        </is>
      </c>
      <c r="G100" s="29" t="inlineStr">
        <is>
          <t>Home &amp; Living</t>
        </is>
      </c>
      <c r="H100" s="31" t="n">
        <v>3</v>
      </c>
      <c r="I100" s="16" t="n">
        <v>699</v>
      </c>
      <c r="J100" s="32" t="n">
        <v>0.1</v>
      </c>
      <c r="K100" s="16">
        <f>H100*I100</f>
        <v/>
      </c>
      <c r="L100" s="16">
        <f>K100*J100</f>
        <v/>
      </c>
      <c r="M100" s="16">
        <f>K100-L100</f>
        <v/>
      </c>
      <c r="N100" s="16" t="n">
        <v>870</v>
      </c>
      <c r="O100" s="16">
        <f>M100-N100</f>
        <v/>
      </c>
      <c r="P100" s="17">
        <f>IFERROR(O100/M100, 0)</f>
        <v/>
      </c>
      <c r="Q100" s="29" t="inlineStr">
        <is>
          <t>Delivered</t>
        </is>
      </c>
    </row>
    <row r="101">
      <c r="A101" s="33" t="n">
        <v>52</v>
      </c>
      <c r="B101" s="33" t="inlineStr">
        <is>
          <t>2025-05-15</t>
        </is>
      </c>
      <c r="C101" s="34" t="inlineStr">
        <is>
          <t>Nikhil Deshmukh</t>
        </is>
      </c>
      <c r="D101" s="33" t="inlineStr">
        <is>
          <t>South</t>
        </is>
      </c>
      <c r="E101" s="34" t="inlineStr">
        <is>
          <t>Hyderabad</t>
        </is>
      </c>
      <c r="F101" s="34" t="inlineStr">
        <is>
          <t>Wireless Noise-Cancelling Headphones</t>
        </is>
      </c>
      <c r="G101" s="33" t="inlineStr">
        <is>
          <t>Electronics</t>
        </is>
      </c>
      <c r="H101" s="35" t="n">
        <v>1</v>
      </c>
      <c r="I101" s="20" t="n">
        <v>7499</v>
      </c>
      <c r="J101" s="36" t="n">
        <v>0.1</v>
      </c>
      <c r="K101" s="20">
        <f>H101*I101</f>
        <v/>
      </c>
      <c r="L101" s="20">
        <f>K101*J101</f>
        <v/>
      </c>
      <c r="M101" s="20">
        <f>K101-L101</f>
        <v/>
      </c>
      <c r="N101" s="20" t="n">
        <v>4800</v>
      </c>
      <c r="O101" s="20">
        <f>M101-N101</f>
        <v/>
      </c>
      <c r="P101" s="21">
        <f>IFERROR(O101/M101, 0)</f>
        <v/>
      </c>
      <c r="Q101" s="33" t="inlineStr">
        <is>
          <t>Delivered</t>
        </is>
      </c>
    </row>
    <row r="102">
      <c r="A102" s="29" t="n">
        <v>53</v>
      </c>
      <c r="B102" s="29" t="inlineStr">
        <is>
          <t>2025-01-13</t>
        </is>
      </c>
      <c r="C102" s="30" t="inlineStr">
        <is>
          <t>Amit Iyer</t>
        </is>
      </c>
      <c r="D102" s="29" t="inlineStr">
        <is>
          <t>Central</t>
        </is>
      </c>
      <c r="E102" s="30" t="inlineStr">
        <is>
          <t>Bhopal</t>
        </is>
      </c>
      <c r="F102" s="30" t="inlineStr">
        <is>
          <t>Smart Fitness Watch Pro</t>
        </is>
      </c>
      <c r="G102" s="29" t="inlineStr">
        <is>
          <t>Electronics</t>
        </is>
      </c>
      <c r="H102" s="31" t="n">
        <v>2</v>
      </c>
      <c r="I102" s="16" t="n">
        <v>4999</v>
      </c>
      <c r="J102" s="32" t="n">
        <v>0.05</v>
      </c>
      <c r="K102" s="16">
        <f>H102*I102</f>
        <v/>
      </c>
      <c r="L102" s="16">
        <f>K102*J102</f>
        <v/>
      </c>
      <c r="M102" s="16">
        <f>K102-L102</f>
        <v/>
      </c>
      <c r="N102" s="16" t="n">
        <v>6400</v>
      </c>
      <c r="O102" s="16">
        <f>M102-N102</f>
        <v/>
      </c>
      <c r="P102" s="17">
        <f>IFERROR(O102/M102, 0)</f>
        <v/>
      </c>
      <c r="Q102" s="29" t="inlineStr">
        <is>
          <t>Delivered</t>
        </is>
      </c>
    </row>
    <row r="103">
      <c r="A103" s="33" t="n">
        <v>53</v>
      </c>
      <c r="B103" s="33" t="inlineStr">
        <is>
          <t>2025-01-13</t>
        </is>
      </c>
      <c r="C103" s="34" t="inlineStr">
        <is>
          <t>Amit Iyer</t>
        </is>
      </c>
      <c r="D103" s="33" t="inlineStr">
        <is>
          <t>Central</t>
        </is>
      </c>
      <c r="E103" s="34" t="inlineStr">
        <is>
          <t>Bhopal</t>
        </is>
      </c>
      <c r="F103" s="34" t="inlineStr">
        <is>
          <t>Mechanical Gaming Keyboard</t>
        </is>
      </c>
      <c r="G103" s="33" t="inlineStr">
        <is>
          <t>Electronics</t>
        </is>
      </c>
      <c r="H103" s="35" t="n">
        <v>1</v>
      </c>
      <c r="I103" s="20" t="n">
        <v>3299</v>
      </c>
      <c r="J103" s="36" t="n">
        <v>0.15</v>
      </c>
      <c r="K103" s="20">
        <f>H103*I103</f>
        <v/>
      </c>
      <c r="L103" s="20">
        <f>K103*J103</f>
        <v/>
      </c>
      <c r="M103" s="20">
        <f>K103-L103</f>
        <v/>
      </c>
      <c r="N103" s="20" t="n">
        <v>2100</v>
      </c>
      <c r="O103" s="20">
        <f>M103-N103</f>
        <v/>
      </c>
      <c r="P103" s="21">
        <f>IFERROR(O103/M103, 0)</f>
        <v/>
      </c>
      <c r="Q103" s="33" t="inlineStr">
        <is>
          <t>Delivered</t>
        </is>
      </c>
    </row>
    <row r="104">
      <c r="A104" s="29" t="n">
        <v>53</v>
      </c>
      <c r="B104" s="29" t="inlineStr">
        <is>
          <t>2025-01-13</t>
        </is>
      </c>
      <c r="C104" s="30" t="inlineStr">
        <is>
          <t>Amit Iyer</t>
        </is>
      </c>
      <c r="D104" s="29" t="inlineStr">
        <is>
          <t>Central</t>
        </is>
      </c>
      <c r="E104" s="30" t="inlineStr">
        <is>
          <t>Bhopal</t>
        </is>
      </c>
      <c r="F104" s="30" t="inlineStr">
        <is>
          <t>Multipurpose Desk Organizer Set</t>
        </is>
      </c>
      <c r="G104" s="29" t="inlineStr">
        <is>
          <t>Home &amp; Living</t>
        </is>
      </c>
      <c r="H104" s="31" t="n">
        <v>1</v>
      </c>
      <c r="I104" s="16" t="n">
        <v>699</v>
      </c>
      <c r="J104" s="32" t="n">
        <v>0</v>
      </c>
      <c r="K104" s="16">
        <f>H104*I104</f>
        <v/>
      </c>
      <c r="L104" s="16">
        <f>K104*J104</f>
        <v/>
      </c>
      <c r="M104" s="16">
        <f>K104-L104</f>
        <v/>
      </c>
      <c r="N104" s="16" t="n">
        <v>290</v>
      </c>
      <c r="O104" s="16">
        <f>M104-N104</f>
        <v/>
      </c>
      <c r="P104" s="17">
        <f>IFERROR(O104/M104, 0)</f>
        <v/>
      </c>
      <c r="Q104" s="29" t="inlineStr">
        <is>
          <t>Delivered</t>
        </is>
      </c>
    </row>
    <row r="105">
      <c r="A105" s="33" t="n">
        <v>54</v>
      </c>
      <c r="B105" s="33" t="inlineStr">
        <is>
          <t>2025-10-12</t>
        </is>
      </c>
      <c r="C105" s="34" t="inlineStr">
        <is>
          <t>Shreya Kapoor</t>
        </is>
      </c>
      <c r="D105" s="33" t="inlineStr">
        <is>
          <t>East</t>
        </is>
      </c>
      <c r="E105" s="34" t="inlineStr">
        <is>
          <t>Bhubaneswar</t>
        </is>
      </c>
      <c r="F105" s="34" t="inlineStr">
        <is>
          <t>Genuine Leather Bifold Wallet</t>
        </is>
      </c>
      <c r="G105" s="33" t="inlineStr">
        <is>
          <t>Fashion</t>
        </is>
      </c>
      <c r="H105" s="35" t="n">
        <v>2</v>
      </c>
      <c r="I105" s="20" t="n">
        <v>899</v>
      </c>
      <c r="J105" s="36" t="n">
        <v>0.2</v>
      </c>
      <c r="K105" s="20">
        <f>H105*I105</f>
        <v/>
      </c>
      <c r="L105" s="20">
        <f>K105*J105</f>
        <v/>
      </c>
      <c r="M105" s="20">
        <f>K105-L105</f>
        <v/>
      </c>
      <c r="N105" s="20" t="n">
        <v>760</v>
      </c>
      <c r="O105" s="20">
        <f>M105-N105</f>
        <v/>
      </c>
      <c r="P105" s="21">
        <f>IFERROR(O105/M105, 0)</f>
        <v/>
      </c>
      <c r="Q105" s="33" t="inlineStr">
        <is>
          <t>Cancelled</t>
        </is>
      </c>
    </row>
    <row r="106">
      <c r="A106" s="29" t="n">
        <v>54</v>
      </c>
      <c r="B106" s="29" t="inlineStr">
        <is>
          <t>2025-10-12</t>
        </is>
      </c>
      <c r="C106" s="30" t="inlineStr">
        <is>
          <t>Shreya Kapoor</t>
        </is>
      </c>
      <c r="D106" s="29" t="inlineStr">
        <is>
          <t>East</t>
        </is>
      </c>
      <c r="E106" s="30" t="inlineStr">
        <is>
          <t>Bhubaneswar</t>
        </is>
      </c>
      <c r="F106" s="30" t="inlineStr">
        <is>
          <t>Anti-Skid Yoga Mat 6mm</t>
        </is>
      </c>
      <c r="G106" s="29" t="inlineStr">
        <is>
          <t>Sports</t>
        </is>
      </c>
      <c r="H106" s="31" t="n">
        <v>1</v>
      </c>
      <c r="I106" s="16" t="n">
        <v>999</v>
      </c>
      <c r="J106" s="32" t="n">
        <v>0.12</v>
      </c>
      <c r="K106" s="16">
        <f>H106*I106</f>
        <v/>
      </c>
      <c r="L106" s="16">
        <f>K106*J106</f>
        <v/>
      </c>
      <c r="M106" s="16">
        <f>K106-L106</f>
        <v/>
      </c>
      <c r="N106" s="16" t="n">
        <v>480</v>
      </c>
      <c r="O106" s="16">
        <f>M106-N106</f>
        <v/>
      </c>
      <c r="P106" s="17">
        <f>IFERROR(O106/M106, 0)</f>
        <v/>
      </c>
      <c r="Q106" s="29" t="inlineStr">
        <is>
          <t>Cancelled</t>
        </is>
      </c>
    </row>
    <row r="107">
      <c r="A107" s="33" t="n">
        <v>55</v>
      </c>
      <c r="B107" s="33" t="inlineStr">
        <is>
          <t>2025-09-13</t>
        </is>
      </c>
      <c r="C107" s="34" t="inlineStr">
        <is>
          <t>Nandini Joshi</t>
        </is>
      </c>
      <c r="D107" s="33" t="inlineStr">
        <is>
          <t>South</t>
        </is>
      </c>
      <c r="E107" s="34" t="inlineStr">
        <is>
          <t>Kochi</t>
        </is>
      </c>
      <c r="F107" s="34" t="inlineStr">
        <is>
          <t>Adjustable Dumbbell Set 20kg</t>
        </is>
      </c>
      <c r="G107" s="33" t="inlineStr">
        <is>
          <t>Sports</t>
        </is>
      </c>
      <c r="H107" s="35" t="n">
        <v>3</v>
      </c>
      <c r="I107" s="20" t="n">
        <v>4299</v>
      </c>
      <c r="J107" s="36" t="n">
        <v>0</v>
      </c>
      <c r="K107" s="20">
        <f>H107*I107</f>
        <v/>
      </c>
      <c r="L107" s="20">
        <f>K107*J107</f>
        <v/>
      </c>
      <c r="M107" s="20">
        <f>K107-L107</f>
        <v/>
      </c>
      <c r="N107" s="20" t="n">
        <v>7800</v>
      </c>
      <c r="O107" s="20">
        <f>M107-N107</f>
        <v/>
      </c>
      <c r="P107" s="21">
        <f>IFERROR(O107/M107, 0)</f>
        <v/>
      </c>
      <c r="Q107" s="33" t="inlineStr">
        <is>
          <t>Delivered</t>
        </is>
      </c>
    </row>
    <row r="108">
      <c r="A108" s="29" t="n">
        <v>56</v>
      </c>
      <c r="B108" s="29" t="inlineStr">
        <is>
          <t>2025-06-11</t>
        </is>
      </c>
      <c r="C108" s="30" t="inlineStr">
        <is>
          <t>Aditya Verma</t>
        </is>
      </c>
      <c r="D108" s="29" t="inlineStr">
        <is>
          <t>South</t>
        </is>
      </c>
      <c r="E108" s="30" t="inlineStr">
        <is>
          <t>Bengaluru</t>
        </is>
      </c>
      <c r="F108" s="30" t="inlineStr">
        <is>
          <t>Insulated Stainless Steel Sipper Bottle</t>
        </is>
      </c>
      <c r="G108" s="29" t="inlineStr">
        <is>
          <t>Sports</t>
        </is>
      </c>
      <c r="H108" s="31" t="n">
        <v>1</v>
      </c>
      <c r="I108" s="16" t="n">
        <v>799</v>
      </c>
      <c r="J108" s="32" t="n">
        <v>0.15</v>
      </c>
      <c r="K108" s="16">
        <f>H108*I108</f>
        <v/>
      </c>
      <c r="L108" s="16">
        <f>K108*J108</f>
        <v/>
      </c>
      <c r="M108" s="16">
        <f>K108-L108</f>
        <v/>
      </c>
      <c r="N108" s="16" t="n">
        <v>390</v>
      </c>
      <c r="O108" s="16">
        <f>M108-N108</f>
        <v/>
      </c>
      <c r="P108" s="17">
        <f>IFERROR(O108/M108, 0)</f>
        <v/>
      </c>
      <c r="Q108" s="29" t="inlineStr">
        <is>
          <t>Delivered</t>
        </is>
      </c>
    </row>
    <row r="109">
      <c r="A109" s="33" t="n">
        <v>56</v>
      </c>
      <c r="B109" s="33" t="inlineStr">
        <is>
          <t>2025-06-11</t>
        </is>
      </c>
      <c r="C109" s="34" t="inlineStr">
        <is>
          <t>Aditya Verma</t>
        </is>
      </c>
      <c r="D109" s="33" t="inlineStr">
        <is>
          <t>South</t>
        </is>
      </c>
      <c r="E109" s="34" t="inlineStr">
        <is>
          <t>Bengaluru</t>
        </is>
      </c>
      <c r="F109" s="34" t="inlineStr">
        <is>
          <t>Ergonomic Wireless Mouse</t>
        </is>
      </c>
      <c r="G109" s="33" t="inlineStr">
        <is>
          <t>Electronics</t>
        </is>
      </c>
      <c r="H109" s="35" t="n">
        <v>1</v>
      </c>
      <c r="I109" s="20" t="n">
        <v>1299</v>
      </c>
      <c r="J109" s="36" t="n">
        <v>0</v>
      </c>
      <c r="K109" s="20">
        <f>H109*I109</f>
        <v/>
      </c>
      <c r="L109" s="20">
        <f>K109*J109</f>
        <v/>
      </c>
      <c r="M109" s="20">
        <f>K109-L109</f>
        <v/>
      </c>
      <c r="N109" s="20" t="n">
        <v>750</v>
      </c>
      <c r="O109" s="20">
        <f>M109-N109</f>
        <v/>
      </c>
      <c r="P109" s="21">
        <f>IFERROR(O109/M109, 0)</f>
        <v/>
      </c>
      <c r="Q109" s="33" t="inlineStr">
        <is>
          <t>Delivered</t>
        </is>
      </c>
    </row>
    <row r="110">
      <c r="A110" s="29" t="n">
        <v>57</v>
      </c>
      <c r="B110" s="29" t="inlineStr">
        <is>
          <t>2025-04-16</t>
        </is>
      </c>
      <c r="C110" s="30" t="inlineStr">
        <is>
          <t>Aarav Rao</t>
        </is>
      </c>
      <c r="D110" s="29" t="inlineStr">
        <is>
          <t>East</t>
        </is>
      </c>
      <c r="E110" s="30" t="inlineStr">
        <is>
          <t>Patna</t>
        </is>
      </c>
      <c r="F110" s="30" t="inlineStr">
        <is>
          <t>Orthopedic Memory Foam Pillow</t>
        </is>
      </c>
      <c r="G110" s="29" t="inlineStr">
        <is>
          <t>Home &amp; Living</t>
        </is>
      </c>
      <c r="H110" s="31" t="n">
        <v>1</v>
      </c>
      <c r="I110" s="16" t="n">
        <v>1799</v>
      </c>
      <c r="J110" s="32" t="n">
        <v>0</v>
      </c>
      <c r="K110" s="16">
        <f>H110*I110</f>
        <v/>
      </c>
      <c r="L110" s="16">
        <f>K110*J110</f>
        <v/>
      </c>
      <c r="M110" s="16">
        <f>K110-L110</f>
        <v/>
      </c>
      <c r="N110" s="16" t="n">
        <v>950</v>
      </c>
      <c r="O110" s="16">
        <f>M110-N110</f>
        <v/>
      </c>
      <c r="P110" s="17">
        <f>IFERROR(O110/M110, 0)</f>
        <v/>
      </c>
      <c r="Q110" s="29" t="inlineStr">
        <is>
          <t>Cancelled</t>
        </is>
      </c>
    </row>
    <row r="111">
      <c r="A111" s="33" t="n">
        <v>58</v>
      </c>
      <c r="B111" s="33" t="inlineStr">
        <is>
          <t>2025-07-30</t>
        </is>
      </c>
      <c r="C111" s="34" t="inlineStr">
        <is>
          <t>Shreya Patel</t>
        </is>
      </c>
      <c r="D111" s="33" t="inlineStr">
        <is>
          <t>South</t>
        </is>
      </c>
      <c r="E111" s="34" t="inlineStr">
        <is>
          <t>Coimbatore</t>
        </is>
      </c>
      <c r="F111" s="34" t="inlineStr">
        <is>
          <t>Fast Charging Power Bank 20000mAh</t>
        </is>
      </c>
      <c r="G111" s="33" t="inlineStr">
        <is>
          <t>Electronics</t>
        </is>
      </c>
      <c r="H111" s="35" t="n">
        <v>2</v>
      </c>
      <c r="I111" s="20" t="n">
        <v>1899</v>
      </c>
      <c r="J111" s="36" t="n">
        <v>0.1</v>
      </c>
      <c r="K111" s="20">
        <f>H111*I111</f>
        <v/>
      </c>
      <c r="L111" s="20">
        <f>K111*J111</f>
        <v/>
      </c>
      <c r="M111" s="20">
        <f>K111-L111</f>
        <v/>
      </c>
      <c r="N111" s="20" t="n">
        <v>2300</v>
      </c>
      <c r="O111" s="20">
        <f>M111-N111</f>
        <v/>
      </c>
      <c r="P111" s="21">
        <f>IFERROR(O111/M111, 0)</f>
        <v/>
      </c>
      <c r="Q111" s="33" t="inlineStr">
        <is>
          <t>Delivered</t>
        </is>
      </c>
    </row>
    <row r="112">
      <c r="A112" s="29" t="n">
        <v>58</v>
      </c>
      <c r="B112" s="29" t="inlineStr">
        <is>
          <t>2025-07-30</t>
        </is>
      </c>
      <c r="C112" s="30" t="inlineStr">
        <is>
          <t>Shreya Patel</t>
        </is>
      </c>
      <c r="D112" s="29" t="inlineStr">
        <is>
          <t>South</t>
        </is>
      </c>
      <c r="E112" s="30" t="inlineStr">
        <is>
          <t>Coimbatore</t>
        </is>
      </c>
      <c r="F112" s="30" t="inlineStr">
        <is>
          <t>Mechanical Gaming Keyboard</t>
        </is>
      </c>
      <c r="G112" s="29" t="inlineStr">
        <is>
          <t>Electronics</t>
        </is>
      </c>
      <c r="H112" s="31" t="n">
        <v>2</v>
      </c>
      <c r="I112" s="16" t="n">
        <v>3299</v>
      </c>
      <c r="J112" s="32" t="n">
        <v>0</v>
      </c>
      <c r="K112" s="16">
        <f>H112*I112</f>
        <v/>
      </c>
      <c r="L112" s="16">
        <f>K112*J112</f>
        <v/>
      </c>
      <c r="M112" s="16">
        <f>K112-L112</f>
        <v/>
      </c>
      <c r="N112" s="16" t="n">
        <v>4200</v>
      </c>
      <c r="O112" s="16">
        <f>M112-N112</f>
        <v/>
      </c>
      <c r="P112" s="17">
        <f>IFERROR(O112/M112, 0)</f>
        <v/>
      </c>
      <c r="Q112" s="29" t="inlineStr">
        <is>
          <t>Delivered</t>
        </is>
      </c>
    </row>
    <row r="113">
      <c r="A113" s="33" t="n">
        <v>59</v>
      </c>
      <c r="B113" s="33" t="inlineStr">
        <is>
          <t>2025-08-26</t>
        </is>
      </c>
      <c r="C113" s="34" t="inlineStr">
        <is>
          <t>Vikram Saxena</t>
        </is>
      </c>
      <c r="D113" s="33" t="inlineStr">
        <is>
          <t>South</t>
        </is>
      </c>
      <c r="E113" s="34" t="inlineStr">
        <is>
          <t>Coimbatore</t>
        </is>
      </c>
      <c r="F113" s="34" t="inlineStr">
        <is>
          <t>Anti-Skid Yoga Mat 6mm</t>
        </is>
      </c>
      <c r="G113" s="33" t="inlineStr">
        <is>
          <t>Sports</t>
        </is>
      </c>
      <c r="H113" s="35" t="n">
        <v>1</v>
      </c>
      <c r="I113" s="20" t="n">
        <v>999</v>
      </c>
      <c r="J113" s="36" t="n">
        <v>0.05</v>
      </c>
      <c r="K113" s="20">
        <f>H113*I113</f>
        <v/>
      </c>
      <c r="L113" s="20">
        <f>K113*J113</f>
        <v/>
      </c>
      <c r="M113" s="20">
        <f>K113-L113</f>
        <v/>
      </c>
      <c r="N113" s="20" t="n">
        <v>480</v>
      </c>
      <c r="O113" s="20">
        <f>M113-N113</f>
        <v/>
      </c>
      <c r="P113" s="21">
        <f>IFERROR(O113/M113, 0)</f>
        <v/>
      </c>
      <c r="Q113" s="33" t="inlineStr">
        <is>
          <t>Delivered</t>
        </is>
      </c>
    </row>
    <row r="114">
      <c r="A114" s="29" t="n">
        <v>60</v>
      </c>
      <c r="B114" s="29" t="inlineStr">
        <is>
          <t>2024-11-05</t>
        </is>
      </c>
      <c r="C114" s="30" t="inlineStr">
        <is>
          <t>Priya Iyer</t>
        </is>
      </c>
      <c r="D114" s="29" t="inlineStr">
        <is>
          <t>West</t>
        </is>
      </c>
      <c r="E114" s="30" t="inlineStr">
        <is>
          <t>Pune</t>
        </is>
      </c>
      <c r="F114" s="30" t="inlineStr">
        <is>
          <t>Lightweight Running Sports Shoes</t>
        </is>
      </c>
      <c r="G114" s="29" t="inlineStr">
        <is>
          <t>Fashion</t>
        </is>
      </c>
      <c r="H114" s="31" t="n">
        <v>1</v>
      </c>
      <c r="I114" s="16" t="n">
        <v>3199</v>
      </c>
      <c r="J114" s="32" t="n">
        <v>0</v>
      </c>
      <c r="K114" s="16">
        <f>H114*I114</f>
        <v/>
      </c>
      <c r="L114" s="16">
        <f>K114*J114</f>
        <v/>
      </c>
      <c r="M114" s="16">
        <f>K114-L114</f>
        <v/>
      </c>
      <c r="N114" s="16" t="n">
        <v>1500</v>
      </c>
      <c r="O114" s="16">
        <f>M114-N114</f>
        <v/>
      </c>
      <c r="P114" s="17">
        <f>IFERROR(O114/M114, 0)</f>
        <v/>
      </c>
      <c r="Q114" s="29" t="inlineStr">
        <is>
          <t>Cancelled</t>
        </is>
      </c>
    </row>
    <row r="115">
      <c r="A115" s="33" t="n">
        <v>60</v>
      </c>
      <c r="B115" s="33" t="inlineStr">
        <is>
          <t>2024-11-05</t>
        </is>
      </c>
      <c r="C115" s="34" t="inlineStr">
        <is>
          <t>Priya Iyer</t>
        </is>
      </c>
      <c r="D115" s="33" t="inlineStr">
        <is>
          <t>West</t>
        </is>
      </c>
      <c r="E115" s="34" t="inlineStr">
        <is>
          <t>Pune</t>
        </is>
      </c>
      <c r="F115" s="34" t="inlineStr">
        <is>
          <t>Adjustable Dumbbell Set 20kg</t>
        </is>
      </c>
      <c r="G115" s="33" t="inlineStr">
        <is>
          <t>Sports</t>
        </is>
      </c>
      <c r="H115" s="35" t="n">
        <v>1</v>
      </c>
      <c r="I115" s="20" t="n">
        <v>4299</v>
      </c>
      <c r="J115" s="36" t="n">
        <v>0.05</v>
      </c>
      <c r="K115" s="20">
        <f>H115*I115</f>
        <v/>
      </c>
      <c r="L115" s="20">
        <f>K115*J115</f>
        <v/>
      </c>
      <c r="M115" s="20">
        <f>K115-L115</f>
        <v/>
      </c>
      <c r="N115" s="20" t="n">
        <v>2600</v>
      </c>
      <c r="O115" s="20">
        <f>M115-N115</f>
        <v/>
      </c>
      <c r="P115" s="21">
        <f>IFERROR(O115/M115, 0)</f>
        <v/>
      </c>
      <c r="Q115" s="33" t="inlineStr">
        <is>
          <t>Cancelled</t>
        </is>
      </c>
    </row>
    <row r="116">
      <c r="A116" s="29" t="n">
        <v>61</v>
      </c>
      <c r="B116" s="29" t="inlineStr">
        <is>
          <t>2025-04-03</t>
        </is>
      </c>
      <c r="C116" s="30" t="inlineStr">
        <is>
          <t>Anjali Singh</t>
        </is>
      </c>
      <c r="D116" s="29" t="inlineStr">
        <is>
          <t>North</t>
        </is>
      </c>
      <c r="E116" s="30" t="inlineStr">
        <is>
          <t>Gurgaon</t>
        </is>
      </c>
      <c r="F116" s="30" t="inlineStr">
        <is>
          <t>Insulated Stainless Steel Sipper Bottle</t>
        </is>
      </c>
      <c r="G116" s="29" t="inlineStr">
        <is>
          <t>Sports</t>
        </is>
      </c>
      <c r="H116" s="31" t="n">
        <v>1</v>
      </c>
      <c r="I116" s="16" t="n">
        <v>799</v>
      </c>
      <c r="J116" s="32" t="n">
        <v>0.1</v>
      </c>
      <c r="K116" s="16">
        <f>H116*I116</f>
        <v/>
      </c>
      <c r="L116" s="16">
        <f>K116*J116</f>
        <v/>
      </c>
      <c r="M116" s="16">
        <f>K116-L116</f>
        <v/>
      </c>
      <c r="N116" s="16" t="n">
        <v>390</v>
      </c>
      <c r="O116" s="16">
        <f>M116-N116</f>
        <v/>
      </c>
      <c r="P116" s="17">
        <f>IFERROR(O116/M116, 0)</f>
        <v/>
      </c>
      <c r="Q116" s="29" t="inlineStr">
        <is>
          <t>Processing</t>
        </is>
      </c>
    </row>
    <row r="117">
      <c r="A117" s="33" t="n">
        <v>61</v>
      </c>
      <c r="B117" s="33" t="inlineStr">
        <is>
          <t>2025-04-03</t>
        </is>
      </c>
      <c r="C117" s="34" t="inlineStr">
        <is>
          <t>Anjali Singh</t>
        </is>
      </c>
      <c r="D117" s="33" t="inlineStr">
        <is>
          <t>North</t>
        </is>
      </c>
      <c r="E117" s="34" t="inlineStr">
        <is>
          <t>Gurgaon</t>
        </is>
      </c>
      <c r="F117" s="34" t="inlineStr">
        <is>
          <t>Unisex Classic Denim Jeans</t>
        </is>
      </c>
      <c r="G117" s="33" t="inlineStr">
        <is>
          <t>Fashion</t>
        </is>
      </c>
      <c r="H117" s="35" t="n">
        <v>3</v>
      </c>
      <c r="I117" s="20" t="n">
        <v>2499</v>
      </c>
      <c r="J117" s="36" t="n">
        <v>0</v>
      </c>
      <c r="K117" s="20">
        <f>H117*I117</f>
        <v/>
      </c>
      <c r="L117" s="20">
        <f>K117*J117</f>
        <v/>
      </c>
      <c r="M117" s="20">
        <f>K117-L117</f>
        <v/>
      </c>
      <c r="N117" s="20" t="n">
        <v>3300</v>
      </c>
      <c r="O117" s="20">
        <f>M117-N117</f>
        <v/>
      </c>
      <c r="P117" s="21">
        <f>IFERROR(O117/M117, 0)</f>
        <v/>
      </c>
      <c r="Q117" s="33" t="inlineStr">
        <is>
          <t>Processing</t>
        </is>
      </c>
    </row>
    <row r="118">
      <c r="A118" s="29" t="n">
        <v>61</v>
      </c>
      <c r="B118" s="29" t="inlineStr">
        <is>
          <t>2025-04-03</t>
        </is>
      </c>
      <c r="C118" s="30" t="inlineStr">
        <is>
          <t>Anjali Singh</t>
        </is>
      </c>
      <c r="D118" s="29" t="inlineStr">
        <is>
          <t>North</t>
        </is>
      </c>
      <c r="E118" s="30" t="inlineStr">
        <is>
          <t>Gurgaon</t>
        </is>
      </c>
      <c r="F118" s="30" t="inlineStr">
        <is>
          <t>Automatic Air Fryer 4.5L</t>
        </is>
      </c>
      <c r="G118" s="29" t="inlineStr">
        <is>
          <t>Home &amp; Living</t>
        </is>
      </c>
      <c r="H118" s="31" t="n">
        <v>1</v>
      </c>
      <c r="I118" s="16" t="n">
        <v>5499</v>
      </c>
      <c r="J118" s="32" t="n">
        <v>0.12</v>
      </c>
      <c r="K118" s="16">
        <f>H118*I118</f>
        <v/>
      </c>
      <c r="L118" s="16">
        <f>K118*J118</f>
        <v/>
      </c>
      <c r="M118" s="16">
        <f>K118-L118</f>
        <v/>
      </c>
      <c r="N118" s="16" t="n">
        <v>3600</v>
      </c>
      <c r="O118" s="16">
        <f>M118-N118</f>
        <v/>
      </c>
      <c r="P118" s="17">
        <f>IFERROR(O118/M118, 0)</f>
        <v/>
      </c>
      <c r="Q118" s="29" t="inlineStr">
        <is>
          <t>Processing</t>
        </is>
      </c>
    </row>
    <row r="119">
      <c r="A119" s="33" t="n">
        <v>61</v>
      </c>
      <c r="B119" s="33" t="inlineStr">
        <is>
          <t>2025-04-03</t>
        </is>
      </c>
      <c r="C119" s="34" t="inlineStr">
        <is>
          <t>Anjali Singh</t>
        </is>
      </c>
      <c r="D119" s="33" t="inlineStr">
        <is>
          <t>North</t>
        </is>
      </c>
      <c r="E119" s="34" t="inlineStr">
        <is>
          <t>Gurgaon</t>
        </is>
      </c>
      <c r="F119" s="34" t="inlineStr">
        <is>
          <t>Lightweight Running Sports Shoes</t>
        </is>
      </c>
      <c r="G119" s="33" t="inlineStr">
        <is>
          <t>Fashion</t>
        </is>
      </c>
      <c r="H119" s="35" t="n">
        <v>1</v>
      </c>
      <c r="I119" s="20" t="n">
        <v>3199</v>
      </c>
      <c r="J119" s="36" t="n">
        <v>0.05</v>
      </c>
      <c r="K119" s="20">
        <f>H119*I119</f>
        <v/>
      </c>
      <c r="L119" s="20">
        <f>K119*J119</f>
        <v/>
      </c>
      <c r="M119" s="20">
        <f>K119-L119</f>
        <v/>
      </c>
      <c r="N119" s="20" t="n">
        <v>1500</v>
      </c>
      <c r="O119" s="20">
        <f>M119-N119</f>
        <v/>
      </c>
      <c r="P119" s="21">
        <f>IFERROR(O119/M119, 0)</f>
        <v/>
      </c>
      <c r="Q119" s="33" t="inlineStr">
        <is>
          <t>Processing</t>
        </is>
      </c>
    </row>
    <row r="120">
      <c r="A120" s="29" t="n">
        <v>62</v>
      </c>
      <c r="B120" s="29" t="inlineStr">
        <is>
          <t>2025-04-01</t>
        </is>
      </c>
      <c r="C120" s="30" t="inlineStr">
        <is>
          <t>Anjali Sharma</t>
        </is>
      </c>
      <c r="D120" s="29" t="inlineStr">
        <is>
          <t>Central</t>
        </is>
      </c>
      <c r="E120" s="30" t="inlineStr">
        <is>
          <t>Gwalior</t>
        </is>
      </c>
      <c r="F120" s="30" t="inlineStr">
        <is>
          <t>Adjustable Dumbbell Set 20kg</t>
        </is>
      </c>
      <c r="G120" s="29" t="inlineStr">
        <is>
          <t>Sports</t>
        </is>
      </c>
      <c r="H120" s="31" t="n">
        <v>1</v>
      </c>
      <c r="I120" s="16" t="n">
        <v>4299</v>
      </c>
      <c r="J120" s="32" t="n">
        <v>0.15</v>
      </c>
      <c r="K120" s="16">
        <f>H120*I120</f>
        <v/>
      </c>
      <c r="L120" s="16">
        <f>K120*J120</f>
        <v/>
      </c>
      <c r="M120" s="16">
        <f>K120-L120</f>
        <v/>
      </c>
      <c r="N120" s="16" t="n">
        <v>2600</v>
      </c>
      <c r="O120" s="16">
        <f>M120-N120</f>
        <v/>
      </c>
      <c r="P120" s="17">
        <f>IFERROR(O120/M120, 0)</f>
        <v/>
      </c>
      <c r="Q120" s="29" t="inlineStr">
        <is>
          <t>Delivered</t>
        </is>
      </c>
    </row>
    <row r="121">
      <c r="A121" s="33" t="n">
        <v>62</v>
      </c>
      <c r="B121" s="33" t="inlineStr">
        <is>
          <t>2025-04-01</t>
        </is>
      </c>
      <c r="C121" s="34" t="inlineStr">
        <is>
          <t>Anjali Sharma</t>
        </is>
      </c>
      <c r="D121" s="33" t="inlineStr">
        <is>
          <t>Central</t>
        </is>
      </c>
      <c r="E121" s="34" t="inlineStr">
        <is>
          <t>Gwalior</t>
        </is>
      </c>
      <c r="F121" s="34" t="inlineStr">
        <is>
          <t>Stainless Steel Electric Kettle 1.8L</t>
        </is>
      </c>
      <c r="G121" s="33" t="inlineStr">
        <is>
          <t>Home &amp; Living</t>
        </is>
      </c>
      <c r="H121" s="35" t="n">
        <v>2</v>
      </c>
      <c r="I121" s="20" t="n">
        <v>1299</v>
      </c>
      <c r="J121" s="36" t="n">
        <v>0</v>
      </c>
      <c r="K121" s="20">
        <f>H121*I121</f>
        <v/>
      </c>
      <c r="L121" s="20">
        <f>K121*J121</f>
        <v/>
      </c>
      <c r="M121" s="20">
        <f>K121-L121</f>
        <v/>
      </c>
      <c r="N121" s="20" t="n">
        <v>1440</v>
      </c>
      <c r="O121" s="20">
        <f>M121-N121</f>
        <v/>
      </c>
      <c r="P121" s="21">
        <f>IFERROR(O121/M121, 0)</f>
        <v/>
      </c>
      <c r="Q121" s="33" t="inlineStr">
        <is>
          <t>Delivered</t>
        </is>
      </c>
    </row>
    <row r="122">
      <c r="A122" s="29" t="n">
        <v>62</v>
      </c>
      <c r="B122" s="29" t="inlineStr">
        <is>
          <t>2025-04-01</t>
        </is>
      </c>
      <c r="C122" s="30" t="inlineStr">
        <is>
          <t>Anjali Sharma</t>
        </is>
      </c>
      <c r="D122" s="29" t="inlineStr">
        <is>
          <t>Central</t>
        </is>
      </c>
      <c r="E122" s="30" t="inlineStr">
        <is>
          <t>Gwalior</t>
        </is>
      </c>
      <c r="F122" s="30" t="inlineStr">
        <is>
          <t>Unisex Classic Denim Jeans</t>
        </is>
      </c>
      <c r="G122" s="29" t="inlineStr">
        <is>
          <t>Fashion</t>
        </is>
      </c>
      <c r="H122" s="31" t="n">
        <v>3</v>
      </c>
      <c r="I122" s="16" t="n">
        <v>2499</v>
      </c>
      <c r="J122" s="32" t="n">
        <v>0.15</v>
      </c>
      <c r="K122" s="16">
        <f>H122*I122</f>
        <v/>
      </c>
      <c r="L122" s="16">
        <f>K122*J122</f>
        <v/>
      </c>
      <c r="M122" s="16">
        <f>K122-L122</f>
        <v/>
      </c>
      <c r="N122" s="16" t="n">
        <v>3300</v>
      </c>
      <c r="O122" s="16">
        <f>M122-N122</f>
        <v/>
      </c>
      <c r="P122" s="17">
        <f>IFERROR(O122/M122, 0)</f>
        <v/>
      </c>
      <c r="Q122" s="29" t="inlineStr">
        <is>
          <t>Delivered</t>
        </is>
      </c>
    </row>
    <row r="123">
      <c r="A123" s="33" t="n">
        <v>62</v>
      </c>
      <c r="B123" s="33" t="inlineStr">
        <is>
          <t>2025-04-01</t>
        </is>
      </c>
      <c r="C123" s="34" t="inlineStr">
        <is>
          <t>Anjali Sharma</t>
        </is>
      </c>
      <c r="D123" s="33" t="inlineStr">
        <is>
          <t>Central</t>
        </is>
      </c>
      <c r="E123" s="34" t="inlineStr">
        <is>
          <t>Gwalior</t>
        </is>
      </c>
      <c r="F123" s="34" t="inlineStr">
        <is>
          <t>Ultra HD Smart LED TV 55-inch</t>
        </is>
      </c>
      <c r="G123" s="33" t="inlineStr">
        <is>
          <t>Electronics</t>
        </is>
      </c>
      <c r="H123" s="35" t="n">
        <v>1</v>
      </c>
      <c r="I123" s="20" t="n">
        <v>42999</v>
      </c>
      <c r="J123" s="36" t="n">
        <v>0.05</v>
      </c>
      <c r="K123" s="20">
        <f>H123*I123</f>
        <v/>
      </c>
      <c r="L123" s="20">
        <f>K123*J123</f>
        <v/>
      </c>
      <c r="M123" s="20">
        <f>K123-L123</f>
        <v/>
      </c>
      <c r="N123" s="20" t="n">
        <v>31000</v>
      </c>
      <c r="O123" s="20">
        <f>M123-N123</f>
        <v/>
      </c>
      <c r="P123" s="21">
        <f>IFERROR(O123/M123, 0)</f>
        <v/>
      </c>
      <c r="Q123" s="33" t="inlineStr">
        <is>
          <t>Delivered</t>
        </is>
      </c>
    </row>
    <row r="124">
      <c r="A124" s="29" t="n">
        <v>63</v>
      </c>
      <c r="B124" s="29" t="inlineStr">
        <is>
          <t>2025-09-07</t>
        </is>
      </c>
      <c r="C124" s="30" t="inlineStr">
        <is>
          <t>Suresh Saxena</t>
        </is>
      </c>
      <c r="D124" s="29" t="inlineStr">
        <is>
          <t>Central</t>
        </is>
      </c>
      <c r="E124" s="30" t="inlineStr">
        <is>
          <t>Bhopal</t>
        </is>
      </c>
      <c r="F124" s="30" t="inlineStr">
        <is>
          <t>Anti-Skid Yoga Mat 6mm</t>
        </is>
      </c>
      <c r="G124" s="29" t="inlineStr">
        <is>
          <t>Sports</t>
        </is>
      </c>
      <c r="H124" s="31" t="n">
        <v>1</v>
      </c>
      <c r="I124" s="16" t="n">
        <v>999</v>
      </c>
      <c r="J124" s="32" t="n">
        <v>0.05</v>
      </c>
      <c r="K124" s="16">
        <f>H124*I124</f>
        <v/>
      </c>
      <c r="L124" s="16">
        <f>K124*J124</f>
        <v/>
      </c>
      <c r="M124" s="16">
        <f>K124-L124</f>
        <v/>
      </c>
      <c r="N124" s="16" t="n">
        <v>480</v>
      </c>
      <c r="O124" s="16">
        <f>M124-N124</f>
        <v/>
      </c>
      <c r="P124" s="17">
        <f>IFERROR(O124/M124, 0)</f>
        <v/>
      </c>
      <c r="Q124" s="29" t="inlineStr">
        <is>
          <t>Cancelled</t>
        </is>
      </c>
    </row>
    <row r="125">
      <c r="A125" s="33" t="n">
        <v>64</v>
      </c>
      <c r="B125" s="33" t="inlineStr">
        <is>
          <t>2025-10-04</t>
        </is>
      </c>
      <c r="C125" s="34" t="inlineStr">
        <is>
          <t>Rohit Iyer</t>
        </is>
      </c>
      <c r="D125" s="33" t="inlineStr">
        <is>
          <t>Central</t>
        </is>
      </c>
      <c r="E125" s="34" t="inlineStr">
        <is>
          <t>Jabalpur</t>
        </is>
      </c>
      <c r="F125" s="34" t="inlineStr">
        <is>
          <t>Anti-Skid Yoga Mat 6mm</t>
        </is>
      </c>
      <c r="G125" s="33" t="inlineStr">
        <is>
          <t>Sports</t>
        </is>
      </c>
      <c r="H125" s="35" t="n">
        <v>1</v>
      </c>
      <c r="I125" s="20" t="n">
        <v>999</v>
      </c>
      <c r="J125" s="36" t="n">
        <v>0.1</v>
      </c>
      <c r="K125" s="20">
        <f>H125*I125</f>
        <v/>
      </c>
      <c r="L125" s="20">
        <f>K125*J125</f>
        <v/>
      </c>
      <c r="M125" s="20">
        <f>K125-L125</f>
        <v/>
      </c>
      <c r="N125" s="20" t="n">
        <v>480</v>
      </c>
      <c r="O125" s="20">
        <f>M125-N125</f>
        <v/>
      </c>
      <c r="P125" s="21">
        <f>IFERROR(O125/M125, 0)</f>
        <v/>
      </c>
      <c r="Q125" s="33" t="inlineStr">
        <is>
          <t>Processing</t>
        </is>
      </c>
    </row>
    <row r="126">
      <c r="A126" s="29" t="n">
        <v>64</v>
      </c>
      <c r="B126" s="29" t="inlineStr">
        <is>
          <t>2025-10-04</t>
        </is>
      </c>
      <c r="C126" s="30" t="inlineStr">
        <is>
          <t>Rohit Iyer</t>
        </is>
      </c>
      <c r="D126" s="29" t="inlineStr">
        <is>
          <t>Central</t>
        </is>
      </c>
      <c r="E126" s="30" t="inlineStr">
        <is>
          <t>Jabalpur</t>
        </is>
      </c>
      <c r="F126" s="30" t="inlineStr">
        <is>
          <t>Ergonomic Wireless Mouse</t>
        </is>
      </c>
      <c r="G126" s="29" t="inlineStr">
        <is>
          <t>Electronics</t>
        </is>
      </c>
      <c r="H126" s="31" t="n">
        <v>1</v>
      </c>
      <c r="I126" s="16" t="n">
        <v>1299</v>
      </c>
      <c r="J126" s="32" t="n">
        <v>0.05</v>
      </c>
      <c r="K126" s="16">
        <f>H126*I126</f>
        <v/>
      </c>
      <c r="L126" s="16">
        <f>K126*J126</f>
        <v/>
      </c>
      <c r="M126" s="16">
        <f>K126-L126</f>
        <v/>
      </c>
      <c r="N126" s="16" t="n">
        <v>750</v>
      </c>
      <c r="O126" s="16">
        <f>M126-N126</f>
        <v/>
      </c>
      <c r="P126" s="17">
        <f>IFERROR(O126/M126, 0)</f>
        <v/>
      </c>
      <c r="Q126" s="29" t="inlineStr">
        <is>
          <t>Processing</t>
        </is>
      </c>
    </row>
    <row r="127">
      <c r="A127" s="33" t="n">
        <v>64</v>
      </c>
      <c r="B127" s="33" t="inlineStr">
        <is>
          <t>2025-10-04</t>
        </is>
      </c>
      <c r="C127" s="34" t="inlineStr">
        <is>
          <t>Rohit Iyer</t>
        </is>
      </c>
      <c r="D127" s="33" t="inlineStr">
        <is>
          <t>Central</t>
        </is>
      </c>
      <c r="E127" s="34" t="inlineStr">
        <is>
          <t>Jabalpur</t>
        </is>
      </c>
      <c r="F127" s="34" t="inlineStr">
        <is>
          <t>Wireless Noise-Cancelling Headphones</t>
        </is>
      </c>
      <c r="G127" s="33" t="inlineStr">
        <is>
          <t>Electronics</t>
        </is>
      </c>
      <c r="H127" s="35" t="n">
        <v>2</v>
      </c>
      <c r="I127" s="20" t="n">
        <v>7499</v>
      </c>
      <c r="J127" s="36" t="n">
        <v>0</v>
      </c>
      <c r="K127" s="20">
        <f>H127*I127</f>
        <v/>
      </c>
      <c r="L127" s="20">
        <f>K127*J127</f>
        <v/>
      </c>
      <c r="M127" s="20">
        <f>K127-L127</f>
        <v/>
      </c>
      <c r="N127" s="20" t="n">
        <v>9600</v>
      </c>
      <c r="O127" s="20">
        <f>M127-N127</f>
        <v/>
      </c>
      <c r="P127" s="21">
        <f>IFERROR(O127/M127, 0)</f>
        <v/>
      </c>
      <c r="Q127" s="33" t="inlineStr">
        <is>
          <t>Processing</t>
        </is>
      </c>
    </row>
    <row r="128">
      <c r="A128" s="29" t="n">
        <v>65</v>
      </c>
      <c r="B128" s="29" t="inlineStr">
        <is>
          <t>2025-04-17</t>
        </is>
      </c>
      <c r="C128" s="30" t="inlineStr">
        <is>
          <t>Vikram Reddy</t>
        </is>
      </c>
      <c r="D128" s="29" t="inlineStr">
        <is>
          <t>North</t>
        </is>
      </c>
      <c r="E128" s="30" t="inlineStr">
        <is>
          <t>Jaipur</t>
        </is>
      </c>
      <c r="F128" s="30" t="inlineStr">
        <is>
          <t>Men Slim-Fit Cotton Casual Shirt</t>
        </is>
      </c>
      <c r="G128" s="29" t="inlineStr">
        <is>
          <t>Fashion</t>
        </is>
      </c>
      <c r="H128" s="31" t="n">
        <v>1</v>
      </c>
      <c r="I128" s="16" t="n">
        <v>1499</v>
      </c>
      <c r="J128" s="32" t="n">
        <v>0.12</v>
      </c>
      <c r="K128" s="16">
        <f>H128*I128</f>
        <v/>
      </c>
      <c r="L128" s="16">
        <f>K128*J128</f>
        <v/>
      </c>
      <c r="M128" s="16">
        <f>K128-L128</f>
        <v/>
      </c>
      <c r="N128" s="16" t="n">
        <v>650</v>
      </c>
      <c r="O128" s="16">
        <f>M128-N128</f>
        <v/>
      </c>
      <c r="P128" s="17">
        <f>IFERROR(O128/M128, 0)</f>
        <v/>
      </c>
      <c r="Q128" s="29" t="inlineStr">
        <is>
          <t>Processing</t>
        </is>
      </c>
    </row>
    <row r="129">
      <c r="A129" s="33" t="n">
        <v>66</v>
      </c>
      <c r="B129" s="33" t="inlineStr">
        <is>
          <t>2025-07-30</t>
        </is>
      </c>
      <c r="C129" s="34" t="inlineStr">
        <is>
          <t>Nandini Bhat</t>
        </is>
      </c>
      <c r="D129" s="33" t="inlineStr">
        <is>
          <t>South</t>
        </is>
      </c>
      <c r="E129" s="34" t="inlineStr">
        <is>
          <t>Kochi</t>
        </is>
      </c>
      <c r="F129" s="34" t="inlineStr">
        <is>
          <t>Fast Charging Power Bank 20000mAh</t>
        </is>
      </c>
      <c r="G129" s="33" t="inlineStr">
        <is>
          <t>Electronics</t>
        </is>
      </c>
      <c r="H129" s="35" t="n">
        <v>4</v>
      </c>
      <c r="I129" s="20" t="n">
        <v>1899</v>
      </c>
      <c r="J129" s="36" t="n">
        <v>0.05</v>
      </c>
      <c r="K129" s="20">
        <f>H129*I129</f>
        <v/>
      </c>
      <c r="L129" s="20">
        <f>K129*J129</f>
        <v/>
      </c>
      <c r="M129" s="20">
        <f>K129-L129</f>
        <v/>
      </c>
      <c r="N129" s="20" t="n">
        <v>4600</v>
      </c>
      <c r="O129" s="20">
        <f>M129-N129</f>
        <v/>
      </c>
      <c r="P129" s="21">
        <f>IFERROR(O129/M129, 0)</f>
        <v/>
      </c>
      <c r="Q129" s="33" t="inlineStr">
        <is>
          <t>Shipped</t>
        </is>
      </c>
    </row>
    <row r="130">
      <c r="A130" s="29" t="n">
        <v>66</v>
      </c>
      <c r="B130" s="29" t="inlineStr">
        <is>
          <t>2025-07-30</t>
        </is>
      </c>
      <c r="C130" s="30" t="inlineStr">
        <is>
          <t>Nandini Bhat</t>
        </is>
      </c>
      <c r="D130" s="29" t="inlineStr">
        <is>
          <t>South</t>
        </is>
      </c>
      <c r="E130" s="30" t="inlineStr">
        <is>
          <t>Kochi</t>
        </is>
      </c>
      <c r="F130" s="30" t="inlineStr">
        <is>
          <t>Unisex Classic Denim Jeans</t>
        </is>
      </c>
      <c r="G130" s="29" t="inlineStr">
        <is>
          <t>Fashion</t>
        </is>
      </c>
      <c r="H130" s="31" t="n">
        <v>2</v>
      </c>
      <c r="I130" s="16" t="n">
        <v>2499</v>
      </c>
      <c r="J130" s="32" t="n">
        <v>0.05</v>
      </c>
      <c r="K130" s="16">
        <f>H130*I130</f>
        <v/>
      </c>
      <c r="L130" s="16">
        <f>K130*J130</f>
        <v/>
      </c>
      <c r="M130" s="16">
        <f>K130-L130</f>
        <v/>
      </c>
      <c r="N130" s="16" t="n">
        <v>2200</v>
      </c>
      <c r="O130" s="16">
        <f>M130-N130</f>
        <v/>
      </c>
      <c r="P130" s="17">
        <f>IFERROR(O130/M130, 0)</f>
        <v/>
      </c>
      <c r="Q130" s="29" t="inlineStr">
        <is>
          <t>Shipped</t>
        </is>
      </c>
    </row>
    <row r="131">
      <c r="A131" s="33" t="n">
        <v>66</v>
      </c>
      <c r="B131" s="33" t="inlineStr">
        <is>
          <t>2025-07-30</t>
        </is>
      </c>
      <c r="C131" s="34" t="inlineStr">
        <is>
          <t>Nandini Bhat</t>
        </is>
      </c>
      <c r="D131" s="33" t="inlineStr">
        <is>
          <t>South</t>
        </is>
      </c>
      <c r="E131" s="34" t="inlineStr">
        <is>
          <t>Kochi</t>
        </is>
      </c>
      <c r="F131" s="34" t="inlineStr">
        <is>
          <t>Multipurpose Desk Organizer Set</t>
        </is>
      </c>
      <c r="G131" s="33" t="inlineStr">
        <is>
          <t>Home &amp; Living</t>
        </is>
      </c>
      <c r="H131" s="35" t="n">
        <v>2</v>
      </c>
      <c r="I131" s="20" t="n">
        <v>699</v>
      </c>
      <c r="J131" s="36" t="n">
        <v>0.1</v>
      </c>
      <c r="K131" s="20">
        <f>H131*I131</f>
        <v/>
      </c>
      <c r="L131" s="20">
        <f>K131*J131</f>
        <v/>
      </c>
      <c r="M131" s="20">
        <f>K131-L131</f>
        <v/>
      </c>
      <c r="N131" s="20" t="n">
        <v>580</v>
      </c>
      <c r="O131" s="20">
        <f>M131-N131</f>
        <v/>
      </c>
      <c r="P131" s="21">
        <f>IFERROR(O131/M131, 0)</f>
        <v/>
      </c>
      <c r="Q131" s="33" t="inlineStr">
        <is>
          <t>Shipped</t>
        </is>
      </c>
    </row>
    <row r="132">
      <c r="A132" s="29" t="n">
        <v>67</v>
      </c>
      <c r="B132" s="29" t="inlineStr">
        <is>
          <t>2025-01-12</t>
        </is>
      </c>
      <c r="C132" s="30" t="inlineStr">
        <is>
          <t>Sneha Saxena</t>
        </is>
      </c>
      <c r="D132" s="29" t="inlineStr">
        <is>
          <t>West</t>
        </is>
      </c>
      <c r="E132" s="30" t="inlineStr">
        <is>
          <t>Nagpur</t>
        </is>
      </c>
      <c r="F132" s="30" t="inlineStr">
        <is>
          <t>Adjustable Dumbbell Set 20kg</t>
        </is>
      </c>
      <c r="G132" s="29" t="inlineStr">
        <is>
          <t>Sports</t>
        </is>
      </c>
      <c r="H132" s="31" t="n">
        <v>1</v>
      </c>
      <c r="I132" s="16" t="n">
        <v>4299</v>
      </c>
      <c r="J132" s="32" t="n">
        <v>0.2</v>
      </c>
      <c r="K132" s="16">
        <f>H132*I132</f>
        <v/>
      </c>
      <c r="L132" s="16">
        <f>K132*J132</f>
        <v/>
      </c>
      <c r="M132" s="16">
        <f>K132-L132</f>
        <v/>
      </c>
      <c r="N132" s="16" t="n">
        <v>2600</v>
      </c>
      <c r="O132" s="16">
        <f>M132-N132</f>
        <v/>
      </c>
      <c r="P132" s="17">
        <f>IFERROR(O132/M132, 0)</f>
        <v/>
      </c>
      <c r="Q132" s="29" t="inlineStr">
        <is>
          <t>Cancelled</t>
        </is>
      </c>
    </row>
    <row r="133">
      <c r="A133" s="33" t="n">
        <v>67</v>
      </c>
      <c r="B133" s="33" t="inlineStr">
        <is>
          <t>2025-01-12</t>
        </is>
      </c>
      <c r="C133" s="34" t="inlineStr">
        <is>
          <t>Sneha Saxena</t>
        </is>
      </c>
      <c r="D133" s="33" t="inlineStr">
        <is>
          <t>West</t>
        </is>
      </c>
      <c r="E133" s="34" t="inlineStr">
        <is>
          <t>Nagpur</t>
        </is>
      </c>
      <c r="F133" s="34" t="inlineStr">
        <is>
          <t>Skipping Rope with Digital Counter</t>
        </is>
      </c>
      <c r="G133" s="33" t="inlineStr">
        <is>
          <t>Sports</t>
        </is>
      </c>
      <c r="H133" s="35" t="n">
        <v>1</v>
      </c>
      <c r="I133" s="20" t="n">
        <v>499</v>
      </c>
      <c r="J133" s="36" t="n">
        <v>0.05</v>
      </c>
      <c r="K133" s="20">
        <f>H133*I133</f>
        <v/>
      </c>
      <c r="L133" s="20">
        <f>K133*J133</f>
        <v/>
      </c>
      <c r="M133" s="20">
        <f>K133-L133</f>
        <v/>
      </c>
      <c r="N133" s="20" t="n">
        <v>210</v>
      </c>
      <c r="O133" s="20">
        <f>M133-N133</f>
        <v/>
      </c>
      <c r="P133" s="21">
        <f>IFERROR(O133/M133, 0)</f>
        <v/>
      </c>
      <c r="Q133" s="33" t="inlineStr">
        <is>
          <t>Cancelled</t>
        </is>
      </c>
    </row>
    <row r="134">
      <c r="A134" s="29" t="n">
        <v>67</v>
      </c>
      <c r="B134" s="29" t="inlineStr">
        <is>
          <t>2025-01-12</t>
        </is>
      </c>
      <c r="C134" s="30" t="inlineStr">
        <is>
          <t>Sneha Saxena</t>
        </is>
      </c>
      <c r="D134" s="29" t="inlineStr">
        <is>
          <t>West</t>
        </is>
      </c>
      <c r="E134" s="30" t="inlineStr">
        <is>
          <t>Nagpur</t>
        </is>
      </c>
      <c r="F134" s="30" t="inlineStr">
        <is>
          <t>Stainless Steel Electric Kettle 1.8L</t>
        </is>
      </c>
      <c r="G134" s="29" t="inlineStr">
        <is>
          <t>Home &amp; Living</t>
        </is>
      </c>
      <c r="H134" s="31" t="n">
        <v>1</v>
      </c>
      <c r="I134" s="16" t="n">
        <v>1299</v>
      </c>
      <c r="J134" s="32" t="n">
        <v>0.1</v>
      </c>
      <c r="K134" s="16">
        <f>H134*I134</f>
        <v/>
      </c>
      <c r="L134" s="16">
        <f>K134*J134</f>
        <v/>
      </c>
      <c r="M134" s="16">
        <f>K134-L134</f>
        <v/>
      </c>
      <c r="N134" s="16" t="n">
        <v>720</v>
      </c>
      <c r="O134" s="16">
        <f>M134-N134</f>
        <v/>
      </c>
      <c r="P134" s="17">
        <f>IFERROR(O134/M134, 0)</f>
        <v/>
      </c>
      <c r="Q134" s="29" t="inlineStr">
        <is>
          <t>Cancelled</t>
        </is>
      </c>
    </row>
    <row r="135">
      <c r="A135" s="33" t="n">
        <v>67</v>
      </c>
      <c r="B135" s="33" t="inlineStr">
        <is>
          <t>2025-01-12</t>
        </is>
      </c>
      <c r="C135" s="34" t="inlineStr">
        <is>
          <t>Sneha Saxena</t>
        </is>
      </c>
      <c r="D135" s="33" t="inlineStr">
        <is>
          <t>West</t>
        </is>
      </c>
      <c r="E135" s="34" t="inlineStr">
        <is>
          <t>Nagpur</t>
        </is>
      </c>
      <c r="F135" s="34" t="inlineStr">
        <is>
          <t>Cold-Pressed Extra Virgin Olive Oil 1L</t>
        </is>
      </c>
      <c r="G135" s="33" t="inlineStr">
        <is>
          <t>Groceries</t>
        </is>
      </c>
      <c r="H135" s="35" t="n">
        <v>1</v>
      </c>
      <c r="I135" s="20" t="n">
        <v>1199</v>
      </c>
      <c r="J135" s="36" t="n">
        <v>0.15</v>
      </c>
      <c r="K135" s="20">
        <f>H135*I135</f>
        <v/>
      </c>
      <c r="L135" s="20">
        <f>K135*J135</f>
        <v/>
      </c>
      <c r="M135" s="20">
        <f>K135-L135</f>
        <v/>
      </c>
      <c r="N135" s="20" t="n">
        <v>780</v>
      </c>
      <c r="O135" s="20">
        <f>M135-N135</f>
        <v/>
      </c>
      <c r="P135" s="21">
        <f>IFERROR(O135/M135, 0)</f>
        <v/>
      </c>
      <c r="Q135" s="33" t="inlineStr">
        <is>
          <t>Cancelled</t>
        </is>
      </c>
    </row>
    <row r="136">
      <c r="A136" s="29" t="n">
        <v>68</v>
      </c>
      <c r="B136" s="29" t="inlineStr">
        <is>
          <t>2025-03-15</t>
        </is>
      </c>
      <c r="C136" s="30" t="inlineStr">
        <is>
          <t>Rohit Iyer</t>
        </is>
      </c>
      <c r="D136" s="29" t="inlineStr">
        <is>
          <t>Central</t>
        </is>
      </c>
      <c r="E136" s="30" t="inlineStr">
        <is>
          <t>Jabalpur</t>
        </is>
      </c>
      <c r="F136" s="30" t="inlineStr">
        <is>
          <t>Anti-Skid Yoga Mat 6mm</t>
        </is>
      </c>
      <c r="G136" s="29" t="inlineStr">
        <is>
          <t>Sports</t>
        </is>
      </c>
      <c r="H136" s="31" t="n">
        <v>3</v>
      </c>
      <c r="I136" s="16" t="n">
        <v>999</v>
      </c>
      <c r="J136" s="32" t="n">
        <v>0</v>
      </c>
      <c r="K136" s="16">
        <f>H136*I136</f>
        <v/>
      </c>
      <c r="L136" s="16">
        <f>K136*J136</f>
        <v/>
      </c>
      <c r="M136" s="16">
        <f>K136-L136</f>
        <v/>
      </c>
      <c r="N136" s="16" t="n">
        <v>1440</v>
      </c>
      <c r="O136" s="16">
        <f>M136-N136</f>
        <v/>
      </c>
      <c r="P136" s="17">
        <f>IFERROR(O136/M136, 0)</f>
        <v/>
      </c>
      <c r="Q136" s="29" t="inlineStr">
        <is>
          <t>Shipped</t>
        </is>
      </c>
    </row>
    <row r="137">
      <c r="A137" s="33" t="n">
        <v>69</v>
      </c>
      <c r="B137" s="33" t="inlineStr">
        <is>
          <t>2025-02-28</t>
        </is>
      </c>
      <c r="C137" s="34" t="inlineStr">
        <is>
          <t>Rohit Iyer</t>
        </is>
      </c>
      <c r="D137" s="33" t="inlineStr">
        <is>
          <t>Central</t>
        </is>
      </c>
      <c r="E137" s="34" t="inlineStr">
        <is>
          <t>Jabalpur</t>
        </is>
      </c>
      <c r="F137" s="34" t="inlineStr">
        <is>
          <t>Cold-Pressed Extra Virgin Olive Oil 1L</t>
        </is>
      </c>
      <c r="G137" s="33" t="inlineStr">
        <is>
          <t>Groceries</t>
        </is>
      </c>
      <c r="H137" s="35" t="n">
        <v>1</v>
      </c>
      <c r="I137" s="20" t="n">
        <v>1199</v>
      </c>
      <c r="J137" s="36" t="n">
        <v>0.12</v>
      </c>
      <c r="K137" s="20">
        <f>H137*I137</f>
        <v/>
      </c>
      <c r="L137" s="20">
        <f>K137*J137</f>
        <v/>
      </c>
      <c r="M137" s="20">
        <f>K137-L137</f>
        <v/>
      </c>
      <c r="N137" s="20" t="n">
        <v>780</v>
      </c>
      <c r="O137" s="20">
        <f>M137-N137</f>
        <v/>
      </c>
      <c r="P137" s="21">
        <f>IFERROR(O137/M137, 0)</f>
        <v/>
      </c>
      <c r="Q137" s="33" t="inlineStr">
        <is>
          <t>Delivered</t>
        </is>
      </c>
    </row>
    <row r="138">
      <c r="A138" s="29" t="n">
        <v>70</v>
      </c>
      <c r="B138" s="29" t="inlineStr">
        <is>
          <t>2025-09-28</t>
        </is>
      </c>
      <c r="C138" s="30" t="inlineStr">
        <is>
          <t>Rhea Kulkarni</t>
        </is>
      </c>
      <c r="D138" s="29" t="inlineStr">
        <is>
          <t>South</t>
        </is>
      </c>
      <c r="E138" s="30" t="inlineStr">
        <is>
          <t>Chennai</t>
        </is>
      </c>
      <c r="F138" s="30" t="inlineStr">
        <is>
          <t>Automatic Air Fryer 4.5L</t>
        </is>
      </c>
      <c r="G138" s="29" t="inlineStr">
        <is>
          <t>Home &amp; Living</t>
        </is>
      </c>
      <c r="H138" s="31" t="n">
        <v>1</v>
      </c>
      <c r="I138" s="16" t="n">
        <v>5499</v>
      </c>
      <c r="J138" s="32" t="n">
        <v>0.1</v>
      </c>
      <c r="K138" s="16">
        <f>H138*I138</f>
        <v/>
      </c>
      <c r="L138" s="16">
        <f>K138*J138</f>
        <v/>
      </c>
      <c r="M138" s="16">
        <f>K138-L138</f>
        <v/>
      </c>
      <c r="N138" s="16" t="n">
        <v>3600</v>
      </c>
      <c r="O138" s="16">
        <f>M138-N138</f>
        <v/>
      </c>
      <c r="P138" s="17">
        <f>IFERROR(O138/M138, 0)</f>
        <v/>
      </c>
      <c r="Q138" s="29" t="inlineStr">
        <is>
          <t>Delivered</t>
        </is>
      </c>
    </row>
    <row r="139">
      <c r="A139" s="33" t="n">
        <v>70</v>
      </c>
      <c r="B139" s="33" t="inlineStr">
        <is>
          <t>2025-09-28</t>
        </is>
      </c>
      <c r="C139" s="34" t="inlineStr">
        <is>
          <t>Rhea Kulkarni</t>
        </is>
      </c>
      <c r="D139" s="33" t="inlineStr">
        <is>
          <t>South</t>
        </is>
      </c>
      <c r="E139" s="34" t="inlineStr">
        <is>
          <t>Chennai</t>
        </is>
      </c>
      <c r="F139" s="34" t="inlineStr">
        <is>
          <t>Insulated Stainless Steel Sipper Bottle</t>
        </is>
      </c>
      <c r="G139" s="33" t="inlineStr">
        <is>
          <t>Sports</t>
        </is>
      </c>
      <c r="H139" s="35" t="n">
        <v>1</v>
      </c>
      <c r="I139" s="20" t="n">
        <v>799</v>
      </c>
      <c r="J139" s="36" t="n">
        <v>0</v>
      </c>
      <c r="K139" s="20">
        <f>H139*I139</f>
        <v/>
      </c>
      <c r="L139" s="20">
        <f>K139*J139</f>
        <v/>
      </c>
      <c r="M139" s="20">
        <f>K139-L139</f>
        <v/>
      </c>
      <c r="N139" s="20" t="n">
        <v>390</v>
      </c>
      <c r="O139" s="20">
        <f>M139-N139</f>
        <v/>
      </c>
      <c r="P139" s="21">
        <f>IFERROR(O139/M139, 0)</f>
        <v/>
      </c>
      <c r="Q139" s="33" t="inlineStr">
        <is>
          <t>Delivered</t>
        </is>
      </c>
    </row>
    <row r="140">
      <c r="A140" s="29" t="n">
        <v>71</v>
      </c>
      <c r="B140" s="29" t="inlineStr">
        <is>
          <t>2025-04-05</t>
        </is>
      </c>
      <c r="C140" s="30" t="inlineStr">
        <is>
          <t>Nandini Joshi</t>
        </is>
      </c>
      <c r="D140" s="29" t="inlineStr">
        <is>
          <t>South</t>
        </is>
      </c>
      <c r="E140" s="30" t="inlineStr">
        <is>
          <t>Kochi</t>
        </is>
      </c>
      <c r="F140" s="30" t="inlineStr">
        <is>
          <t>Women Floral Embroidered Kurti</t>
        </is>
      </c>
      <c r="G140" s="29" t="inlineStr">
        <is>
          <t>Fashion</t>
        </is>
      </c>
      <c r="H140" s="31" t="n">
        <v>3</v>
      </c>
      <c r="I140" s="16" t="n">
        <v>1899</v>
      </c>
      <c r="J140" s="32" t="n">
        <v>0</v>
      </c>
      <c r="K140" s="16">
        <f>H140*I140</f>
        <v/>
      </c>
      <c r="L140" s="16">
        <f>K140*J140</f>
        <v/>
      </c>
      <c r="M140" s="16">
        <f>K140-L140</f>
        <v/>
      </c>
      <c r="N140" s="16" t="n">
        <v>2400</v>
      </c>
      <c r="O140" s="16">
        <f>M140-N140</f>
        <v/>
      </c>
      <c r="P140" s="17">
        <f>IFERROR(O140/M140, 0)</f>
        <v/>
      </c>
      <c r="Q140" s="29" t="inlineStr">
        <is>
          <t>Delivered</t>
        </is>
      </c>
    </row>
    <row r="141">
      <c r="A141" s="33" t="n">
        <v>72</v>
      </c>
      <c r="B141" s="33" t="inlineStr">
        <is>
          <t>2025-06-21</t>
        </is>
      </c>
      <c r="C141" s="34" t="inlineStr">
        <is>
          <t>Aarav Verma</t>
        </is>
      </c>
      <c r="D141" s="33" t="inlineStr">
        <is>
          <t>South</t>
        </is>
      </c>
      <c r="E141" s="34" t="inlineStr">
        <is>
          <t>Chennai</t>
        </is>
      </c>
      <c r="F141" s="34" t="inlineStr">
        <is>
          <t>Skipping Rope with Digital Counter</t>
        </is>
      </c>
      <c r="G141" s="33" t="inlineStr">
        <is>
          <t>Sports</t>
        </is>
      </c>
      <c r="H141" s="35" t="n">
        <v>3</v>
      </c>
      <c r="I141" s="20" t="n">
        <v>499</v>
      </c>
      <c r="J141" s="36" t="n">
        <v>0.1</v>
      </c>
      <c r="K141" s="20">
        <f>H141*I141</f>
        <v/>
      </c>
      <c r="L141" s="20">
        <f>K141*J141</f>
        <v/>
      </c>
      <c r="M141" s="20">
        <f>K141-L141</f>
        <v/>
      </c>
      <c r="N141" s="20" t="n">
        <v>630</v>
      </c>
      <c r="O141" s="20">
        <f>M141-N141</f>
        <v/>
      </c>
      <c r="P141" s="21">
        <f>IFERROR(O141/M141, 0)</f>
        <v/>
      </c>
      <c r="Q141" s="33" t="inlineStr">
        <is>
          <t>Delivered</t>
        </is>
      </c>
    </row>
    <row r="142">
      <c r="A142" s="29" t="n">
        <v>72</v>
      </c>
      <c r="B142" s="29" t="inlineStr">
        <is>
          <t>2025-06-21</t>
        </is>
      </c>
      <c r="C142" s="30" t="inlineStr">
        <is>
          <t>Aarav Verma</t>
        </is>
      </c>
      <c r="D142" s="29" t="inlineStr">
        <is>
          <t>South</t>
        </is>
      </c>
      <c r="E142" s="30" t="inlineStr">
        <is>
          <t>Chennai</t>
        </is>
      </c>
      <c r="F142" s="30" t="inlineStr">
        <is>
          <t>Insulated Stainless Steel Sipper Bottle</t>
        </is>
      </c>
      <c r="G142" s="29" t="inlineStr">
        <is>
          <t>Sports</t>
        </is>
      </c>
      <c r="H142" s="31" t="n">
        <v>1</v>
      </c>
      <c r="I142" s="16" t="n">
        <v>799</v>
      </c>
      <c r="J142" s="32" t="n">
        <v>0.15</v>
      </c>
      <c r="K142" s="16">
        <f>H142*I142</f>
        <v/>
      </c>
      <c r="L142" s="16">
        <f>K142*J142</f>
        <v/>
      </c>
      <c r="M142" s="16">
        <f>K142-L142</f>
        <v/>
      </c>
      <c r="N142" s="16" t="n">
        <v>390</v>
      </c>
      <c r="O142" s="16">
        <f>M142-N142</f>
        <v/>
      </c>
      <c r="P142" s="17">
        <f>IFERROR(O142/M142, 0)</f>
        <v/>
      </c>
      <c r="Q142" s="29" t="inlineStr">
        <is>
          <t>Delivered</t>
        </is>
      </c>
    </row>
    <row r="143">
      <c r="A143" s="33" t="n">
        <v>73</v>
      </c>
      <c r="B143" s="33" t="inlineStr">
        <is>
          <t>2025-06-01</t>
        </is>
      </c>
      <c r="C143" s="34" t="inlineStr">
        <is>
          <t>Amit Gupta</t>
        </is>
      </c>
      <c r="D143" s="33" t="inlineStr">
        <is>
          <t>Central</t>
        </is>
      </c>
      <c r="E143" s="34" t="inlineStr">
        <is>
          <t>Gwalior</t>
        </is>
      </c>
      <c r="F143" s="34" t="inlineStr">
        <is>
          <t>Multipurpose Desk Organizer Set</t>
        </is>
      </c>
      <c r="G143" s="33" t="inlineStr">
        <is>
          <t>Home &amp; Living</t>
        </is>
      </c>
      <c r="H143" s="35" t="n">
        <v>2</v>
      </c>
      <c r="I143" s="20" t="n">
        <v>699</v>
      </c>
      <c r="J143" s="36" t="n">
        <v>0.05</v>
      </c>
      <c r="K143" s="20">
        <f>H143*I143</f>
        <v/>
      </c>
      <c r="L143" s="20">
        <f>K143*J143</f>
        <v/>
      </c>
      <c r="M143" s="20">
        <f>K143-L143</f>
        <v/>
      </c>
      <c r="N143" s="20" t="n">
        <v>580</v>
      </c>
      <c r="O143" s="20">
        <f>M143-N143</f>
        <v/>
      </c>
      <c r="P143" s="21">
        <f>IFERROR(O143/M143, 0)</f>
        <v/>
      </c>
      <c r="Q143" s="33" t="inlineStr">
        <is>
          <t>Processing</t>
        </is>
      </c>
    </row>
    <row r="144">
      <c r="A144" s="29" t="n">
        <v>74</v>
      </c>
      <c r="B144" s="29" t="inlineStr">
        <is>
          <t>2025-05-09</t>
        </is>
      </c>
      <c r="C144" s="30" t="inlineStr">
        <is>
          <t>Nandini Joshi</t>
        </is>
      </c>
      <c r="D144" s="29" t="inlineStr">
        <is>
          <t>South</t>
        </is>
      </c>
      <c r="E144" s="30" t="inlineStr">
        <is>
          <t>Kochi</t>
        </is>
      </c>
      <c r="F144" s="30" t="inlineStr">
        <is>
          <t>Women Floral Embroidered Kurti</t>
        </is>
      </c>
      <c r="G144" s="29" t="inlineStr">
        <is>
          <t>Fashion</t>
        </is>
      </c>
      <c r="H144" s="31" t="n">
        <v>3</v>
      </c>
      <c r="I144" s="16" t="n">
        <v>1899</v>
      </c>
      <c r="J144" s="32" t="n">
        <v>0</v>
      </c>
      <c r="K144" s="16">
        <f>H144*I144</f>
        <v/>
      </c>
      <c r="L144" s="16">
        <f>K144*J144</f>
        <v/>
      </c>
      <c r="M144" s="16">
        <f>K144-L144</f>
        <v/>
      </c>
      <c r="N144" s="16" t="n">
        <v>2400</v>
      </c>
      <c r="O144" s="16">
        <f>M144-N144</f>
        <v/>
      </c>
      <c r="P144" s="17">
        <f>IFERROR(O144/M144, 0)</f>
        <v/>
      </c>
      <c r="Q144" s="29" t="inlineStr">
        <is>
          <t>Delivered</t>
        </is>
      </c>
    </row>
    <row r="145">
      <c r="A145" s="33" t="n">
        <v>75</v>
      </c>
      <c r="B145" s="33" t="inlineStr">
        <is>
          <t>2025-05-08</t>
        </is>
      </c>
      <c r="C145" s="34" t="inlineStr">
        <is>
          <t>Nikhil Joshi</t>
        </is>
      </c>
      <c r="D145" s="33" t="inlineStr">
        <is>
          <t>Central</t>
        </is>
      </c>
      <c r="E145" s="34" t="inlineStr">
        <is>
          <t>Gwalior</t>
        </is>
      </c>
      <c r="F145" s="34" t="inlineStr">
        <is>
          <t>Anti-Skid Yoga Mat 6mm</t>
        </is>
      </c>
      <c r="G145" s="33" t="inlineStr">
        <is>
          <t>Sports</t>
        </is>
      </c>
      <c r="H145" s="35" t="n">
        <v>1</v>
      </c>
      <c r="I145" s="20" t="n">
        <v>999</v>
      </c>
      <c r="J145" s="36" t="n">
        <v>0</v>
      </c>
      <c r="K145" s="20">
        <f>H145*I145</f>
        <v/>
      </c>
      <c r="L145" s="20">
        <f>K145*J145</f>
        <v/>
      </c>
      <c r="M145" s="20">
        <f>K145-L145</f>
        <v/>
      </c>
      <c r="N145" s="20" t="n">
        <v>480</v>
      </c>
      <c r="O145" s="20">
        <f>M145-N145</f>
        <v/>
      </c>
      <c r="P145" s="21">
        <f>IFERROR(O145/M145, 0)</f>
        <v/>
      </c>
      <c r="Q145" s="33" t="inlineStr">
        <is>
          <t>Shipped</t>
        </is>
      </c>
    </row>
    <row r="146">
      <c r="A146" s="29" t="n">
        <v>75</v>
      </c>
      <c r="B146" s="29" t="inlineStr">
        <is>
          <t>2025-05-08</t>
        </is>
      </c>
      <c r="C146" s="30" t="inlineStr">
        <is>
          <t>Nikhil Joshi</t>
        </is>
      </c>
      <c r="D146" s="29" t="inlineStr">
        <is>
          <t>Central</t>
        </is>
      </c>
      <c r="E146" s="30" t="inlineStr">
        <is>
          <t>Gwalior</t>
        </is>
      </c>
      <c r="F146" s="30" t="inlineStr">
        <is>
          <t>Orthopedic Memory Foam Pillow</t>
        </is>
      </c>
      <c r="G146" s="29" t="inlineStr">
        <is>
          <t>Home &amp; Living</t>
        </is>
      </c>
      <c r="H146" s="31" t="n">
        <v>4</v>
      </c>
      <c r="I146" s="16" t="n">
        <v>1799</v>
      </c>
      <c r="J146" s="32" t="n">
        <v>0.2</v>
      </c>
      <c r="K146" s="16">
        <f>H146*I146</f>
        <v/>
      </c>
      <c r="L146" s="16">
        <f>K146*J146</f>
        <v/>
      </c>
      <c r="M146" s="16">
        <f>K146-L146</f>
        <v/>
      </c>
      <c r="N146" s="16" t="n">
        <v>3800</v>
      </c>
      <c r="O146" s="16">
        <f>M146-N146</f>
        <v/>
      </c>
      <c r="P146" s="17">
        <f>IFERROR(O146/M146, 0)</f>
        <v/>
      </c>
      <c r="Q146" s="29" t="inlineStr">
        <is>
          <t>Shipped</t>
        </is>
      </c>
    </row>
    <row r="147">
      <c r="A147" s="33" t="n">
        <v>75</v>
      </c>
      <c r="B147" s="33" t="inlineStr">
        <is>
          <t>2025-05-08</t>
        </is>
      </c>
      <c r="C147" s="34" t="inlineStr">
        <is>
          <t>Nikhil Joshi</t>
        </is>
      </c>
      <c r="D147" s="33" t="inlineStr">
        <is>
          <t>Central</t>
        </is>
      </c>
      <c r="E147" s="34" t="inlineStr">
        <is>
          <t>Gwalior</t>
        </is>
      </c>
      <c r="F147" s="34" t="inlineStr">
        <is>
          <t>Wireless Noise-Cancelling Headphones</t>
        </is>
      </c>
      <c r="G147" s="33" t="inlineStr">
        <is>
          <t>Electronics</t>
        </is>
      </c>
      <c r="H147" s="35" t="n">
        <v>2</v>
      </c>
      <c r="I147" s="20" t="n">
        <v>7499</v>
      </c>
      <c r="J147" s="36" t="n">
        <v>0</v>
      </c>
      <c r="K147" s="20">
        <f>H147*I147</f>
        <v/>
      </c>
      <c r="L147" s="20">
        <f>K147*J147</f>
        <v/>
      </c>
      <c r="M147" s="20">
        <f>K147-L147</f>
        <v/>
      </c>
      <c r="N147" s="20" t="n">
        <v>9600</v>
      </c>
      <c r="O147" s="20">
        <f>M147-N147</f>
        <v/>
      </c>
      <c r="P147" s="21">
        <f>IFERROR(O147/M147, 0)</f>
        <v/>
      </c>
      <c r="Q147" s="33" t="inlineStr">
        <is>
          <t>Shipped</t>
        </is>
      </c>
    </row>
    <row r="148">
      <c r="A148" s="29" t="n">
        <v>76</v>
      </c>
      <c r="B148" s="29" t="inlineStr">
        <is>
          <t>2025-02-17</t>
        </is>
      </c>
      <c r="C148" s="30" t="inlineStr">
        <is>
          <t>Sunil Agarwal</t>
        </is>
      </c>
      <c r="D148" s="29" t="inlineStr">
        <is>
          <t>East</t>
        </is>
      </c>
      <c r="E148" s="30" t="inlineStr">
        <is>
          <t>Guwahati</t>
        </is>
      </c>
      <c r="F148" s="30" t="inlineStr">
        <is>
          <t>Ultra HD Smart LED TV 55-inch</t>
        </is>
      </c>
      <c r="G148" s="29" t="inlineStr">
        <is>
          <t>Electronics</t>
        </is>
      </c>
      <c r="H148" s="31" t="n">
        <v>2</v>
      </c>
      <c r="I148" s="16" t="n">
        <v>42999</v>
      </c>
      <c r="J148" s="32" t="n">
        <v>0</v>
      </c>
      <c r="K148" s="16">
        <f>H148*I148</f>
        <v/>
      </c>
      <c r="L148" s="16">
        <f>K148*J148</f>
        <v/>
      </c>
      <c r="M148" s="16">
        <f>K148-L148</f>
        <v/>
      </c>
      <c r="N148" s="16" t="n">
        <v>62000</v>
      </c>
      <c r="O148" s="16">
        <f>M148-N148</f>
        <v/>
      </c>
      <c r="P148" s="17">
        <f>IFERROR(O148/M148, 0)</f>
        <v/>
      </c>
      <c r="Q148" s="29" t="inlineStr">
        <is>
          <t>Processing</t>
        </is>
      </c>
    </row>
    <row r="149">
      <c r="A149" s="33" t="n">
        <v>76</v>
      </c>
      <c r="B149" s="33" t="inlineStr">
        <is>
          <t>2025-02-17</t>
        </is>
      </c>
      <c r="C149" s="34" t="inlineStr">
        <is>
          <t>Sunil Agarwal</t>
        </is>
      </c>
      <c r="D149" s="33" t="inlineStr">
        <is>
          <t>East</t>
        </is>
      </c>
      <c r="E149" s="34" t="inlineStr">
        <is>
          <t>Guwahati</t>
        </is>
      </c>
      <c r="F149" s="34" t="inlineStr">
        <is>
          <t>Wireless Noise-Cancelling Headphones</t>
        </is>
      </c>
      <c r="G149" s="33" t="inlineStr">
        <is>
          <t>Electronics</t>
        </is>
      </c>
      <c r="H149" s="35" t="n">
        <v>5</v>
      </c>
      <c r="I149" s="20" t="n">
        <v>7499</v>
      </c>
      <c r="J149" s="36" t="n">
        <v>0.2</v>
      </c>
      <c r="K149" s="20">
        <f>H149*I149</f>
        <v/>
      </c>
      <c r="L149" s="20">
        <f>K149*J149</f>
        <v/>
      </c>
      <c r="M149" s="20">
        <f>K149-L149</f>
        <v/>
      </c>
      <c r="N149" s="20" t="n">
        <v>24000</v>
      </c>
      <c r="O149" s="20">
        <f>M149-N149</f>
        <v/>
      </c>
      <c r="P149" s="21">
        <f>IFERROR(O149/M149, 0)</f>
        <v/>
      </c>
      <c r="Q149" s="33" t="inlineStr">
        <is>
          <t>Processing</t>
        </is>
      </c>
    </row>
    <row r="150">
      <c r="A150" s="29" t="n">
        <v>77</v>
      </c>
      <c r="B150" s="29" t="inlineStr">
        <is>
          <t>2025-02-14</t>
        </is>
      </c>
      <c r="C150" s="30" t="inlineStr">
        <is>
          <t>Kunal Rao</t>
        </is>
      </c>
      <c r="D150" s="29" t="inlineStr">
        <is>
          <t>East</t>
        </is>
      </c>
      <c r="E150" s="30" t="inlineStr">
        <is>
          <t>Guwahati</t>
        </is>
      </c>
      <c r="F150" s="30" t="inlineStr">
        <is>
          <t>Cold-Pressed Extra Virgin Olive Oil 1L</t>
        </is>
      </c>
      <c r="G150" s="29" t="inlineStr">
        <is>
          <t>Groceries</t>
        </is>
      </c>
      <c r="H150" s="31" t="n">
        <v>1</v>
      </c>
      <c r="I150" s="16" t="n">
        <v>1199</v>
      </c>
      <c r="J150" s="32" t="n">
        <v>0.2</v>
      </c>
      <c r="K150" s="16">
        <f>H150*I150</f>
        <v/>
      </c>
      <c r="L150" s="16">
        <f>K150*J150</f>
        <v/>
      </c>
      <c r="M150" s="16">
        <f>K150-L150</f>
        <v/>
      </c>
      <c r="N150" s="16" t="n">
        <v>780</v>
      </c>
      <c r="O150" s="16">
        <f>M150-N150</f>
        <v/>
      </c>
      <c r="P150" s="17">
        <f>IFERROR(O150/M150, 0)</f>
        <v/>
      </c>
      <c r="Q150" s="29" t="inlineStr">
        <is>
          <t>Delivered</t>
        </is>
      </c>
    </row>
    <row r="151">
      <c r="A151" s="33" t="n">
        <v>77</v>
      </c>
      <c r="B151" s="33" t="inlineStr">
        <is>
          <t>2025-02-14</t>
        </is>
      </c>
      <c r="C151" s="34" t="inlineStr">
        <is>
          <t>Kunal Rao</t>
        </is>
      </c>
      <c r="D151" s="33" t="inlineStr">
        <is>
          <t>East</t>
        </is>
      </c>
      <c r="E151" s="34" t="inlineStr">
        <is>
          <t>Guwahati</t>
        </is>
      </c>
      <c r="F151" s="34" t="inlineStr">
        <is>
          <t>Men Slim-Fit Cotton Casual Shirt</t>
        </is>
      </c>
      <c r="G151" s="33" t="inlineStr">
        <is>
          <t>Fashion</t>
        </is>
      </c>
      <c r="H151" s="35" t="n">
        <v>1</v>
      </c>
      <c r="I151" s="20" t="n">
        <v>1499</v>
      </c>
      <c r="J151" s="36" t="n">
        <v>0.2</v>
      </c>
      <c r="K151" s="20">
        <f>H151*I151</f>
        <v/>
      </c>
      <c r="L151" s="20">
        <f>K151*J151</f>
        <v/>
      </c>
      <c r="M151" s="20">
        <f>K151-L151</f>
        <v/>
      </c>
      <c r="N151" s="20" t="n">
        <v>650</v>
      </c>
      <c r="O151" s="20">
        <f>M151-N151</f>
        <v/>
      </c>
      <c r="P151" s="21">
        <f>IFERROR(O151/M151, 0)</f>
        <v/>
      </c>
      <c r="Q151" s="33" t="inlineStr">
        <is>
          <t>Delivered</t>
        </is>
      </c>
    </row>
    <row r="152">
      <c r="A152" s="29" t="n">
        <v>77</v>
      </c>
      <c r="B152" s="29" t="inlineStr">
        <is>
          <t>2025-02-14</t>
        </is>
      </c>
      <c r="C152" s="30" t="inlineStr">
        <is>
          <t>Kunal Rao</t>
        </is>
      </c>
      <c r="D152" s="29" t="inlineStr">
        <is>
          <t>East</t>
        </is>
      </c>
      <c r="E152" s="30" t="inlineStr">
        <is>
          <t>Guwahati</t>
        </is>
      </c>
      <c r="F152" s="30" t="inlineStr">
        <is>
          <t>Premium California Almonds 500g</t>
        </is>
      </c>
      <c r="G152" s="29" t="inlineStr">
        <is>
          <t>Groceries</t>
        </is>
      </c>
      <c r="H152" s="31" t="n">
        <v>1</v>
      </c>
      <c r="I152" s="16" t="n">
        <v>599</v>
      </c>
      <c r="J152" s="32" t="n">
        <v>0.12</v>
      </c>
      <c r="K152" s="16">
        <f>H152*I152</f>
        <v/>
      </c>
      <c r="L152" s="16">
        <f>K152*J152</f>
        <v/>
      </c>
      <c r="M152" s="16">
        <f>K152-L152</f>
        <v/>
      </c>
      <c r="N152" s="16" t="n">
        <v>380</v>
      </c>
      <c r="O152" s="16">
        <f>M152-N152</f>
        <v/>
      </c>
      <c r="P152" s="17">
        <f>IFERROR(O152/M152, 0)</f>
        <v/>
      </c>
      <c r="Q152" s="29" t="inlineStr">
        <is>
          <t>Delivered</t>
        </is>
      </c>
    </row>
    <row r="153">
      <c r="A153" s="33" t="n">
        <v>78</v>
      </c>
      <c r="B153" s="33" t="inlineStr">
        <is>
          <t>2025-03-22</t>
        </is>
      </c>
      <c r="C153" s="34" t="inlineStr">
        <is>
          <t>Pooja Sharma</t>
        </is>
      </c>
      <c r="D153" s="33" t="inlineStr">
        <is>
          <t>West</t>
        </is>
      </c>
      <c r="E153" s="34" t="inlineStr">
        <is>
          <t>Pune</t>
        </is>
      </c>
      <c r="F153" s="34" t="inlineStr">
        <is>
          <t>Smart Fitness Watch Pro</t>
        </is>
      </c>
      <c r="G153" s="33" t="inlineStr">
        <is>
          <t>Electronics</t>
        </is>
      </c>
      <c r="H153" s="35" t="n">
        <v>1</v>
      </c>
      <c r="I153" s="20" t="n">
        <v>4999</v>
      </c>
      <c r="J153" s="36" t="n">
        <v>0.2</v>
      </c>
      <c r="K153" s="20">
        <f>H153*I153</f>
        <v/>
      </c>
      <c r="L153" s="20">
        <f>K153*J153</f>
        <v/>
      </c>
      <c r="M153" s="20">
        <f>K153-L153</f>
        <v/>
      </c>
      <c r="N153" s="20" t="n">
        <v>3200</v>
      </c>
      <c r="O153" s="20">
        <f>M153-N153</f>
        <v/>
      </c>
      <c r="P153" s="21">
        <f>IFERROR(O153/M153, 0)</f>
        <v/>
      </c>
      <c r="Q153" s="33" t="inlineStr">
        <is>
          <t>Cancelled</t>
        </is>
      </c>
    </row>
    <row r="154">
      <c r="A154" s="29" t="n">
        <v>78</v>
      </c>
      <c r="B154" s="29" t="inlineStr">
        <is>
          <t>2025-03-22</t>
        </is>
      </c>
      <c r="C154" s="30" t="inlineStr">
        <is>
          <t>Pooja Sharma</t>
        </is>
      </c>
      <c r="D154" s="29" t="inlineStr">
        <is>
          <t>West</t>
        </is>
      </c>
      <c r="E154" s="30" t="inlineStr">
        <is>
          <t>Pune</t>
        </is>
      </c>
      <c r="F154" s="30" t="inlineStr">
        <is>
          <t>Cold-Pressed Extra Virgin Olive Oil 1L</t>
        </is>
      </c>
      <c r="G154" s="29" t="inlineStr">
        <is>
          <t>Groceries</t>
        </is>
      </c>
      <c r="H154" s="31" t="n">
        <v>1</v>
      </c>
      <c r="I154" s="16" t="n">
        <v>1199</v>
      </c>
      <c r="J154" s="32" t="n">
        <v>0</v>
      </c>
      <c r="K154" s="16">
        <f>H154*I154</f>
        <v/>
      </c>
      <c r="L154" s="16">
        <f>K154*J154</f>
        <v/>
      </c>
      <c r="M154" s="16">
        <f>K154-L154</f>
        <v/>
      </c>
      <c r="N154" s="16" t="n">
        <v>780</v>
      </c>
      <c r="O154" s="16">
        <f>M154-N154</f>
        <v/>
      </c>
      <c r="P154" s="17">
        <f>IFERROR(O154/M154, 0)</f>
        <v/>
      </c>
      <c r="Q154" s="29" t="inlineStr">
        <is>
          <t>Cancelled</t>
        </is>
      </c>
    </row>
    <row r="155">
      <c r="A155" s="33" t="n">
        <v>78</v>
      </c>
      <c r="B155" s="33" t="inlineStr">
        <is>
          <t>2025-03-22</t>
        </is>
      </c>
      <c r="C155" s="34" t="inlineStr">
        <is>
          <t>Pooja Sharma</t>
        </is>
      </c>
      <c r="D155" s="33" t="inlineStr">
        <is>
          <t>West</t>
        </is>
      </c>
      <c r="E155" s="34" t="inlineStr">
        <is>
          <t>Pune</t>
        </is>
      </c>
      <c r="F155" s="34" t="inlineStr">
        <is>
          <t>Unisex Classic Denim Jeans</t>
        </is>
      </c>
      <c r="G155" s="33" t="inlineStr">
        <is>
          <t>Fashion</t>
        </is>
      </c>
      <c r="H155" s="35" t="n">
        <v>1</v>
      </c>
      <c r="I155" s="20" t="n">
        <v>2499</v>
      </c>
      <c r="J155" s="36" t="n">
        <v>0.2</v>
      </c>
      <c r="K155" s="20">
        <f>H155*I155</f>
        <v/>
      </c>
      <c r="L155" s="20">
        <f>K155*J155</f>
        <v/>
      </c>
      <c r="M155" s="20">
        <f>K155-L155</f>
        <v/>
      </c>
      <c r="N155" s="20" t="n">
        <v>1100</v>
      </c>
      <c r="O155" s="20">
        <f>M155-N155</f>
        <v/>
      </c>
      <c r="P155" s="21">
        <f>IFERROR(O155/M155, 0)</f>
        <v/>
      </c>
      <c r="Q155" s="33" t="inlineStr">
        <is>
          <t>Cancelled</t>
        </is>
      </c>
    </row>
    <row r="156">
      <c r="A156" s="29" t="n">
        <v>78</v>
      </c>
      <c r="B156" s="29" t="inlineStr">
        <is>
          <t>2025-03-22</t>
        </is>
      </c>
      <c r="C156" s="30" t="inlineStr">
        <is>
          <t>Pooja Sharma</t>
        </is>
      </c>
      <c r="D156" s="29" t="inlineStr">
        <is>
          <t>West</t>
        </is>
      </c>
      <c r="E156" s="30" t="inlineStr">
        <is>
          <t>Pune</t>
        </is>
      </c>
      <c r="F156" s="30" t="inlineStr">
        <is>
          <t>Fast Charging Power Bank 20000mAh</t>
        </is>
      </c>
      <c r="G156" s="29" t="inlineStr">
        <is>
          <t>Electronics</t>
        </is>
      </c>
      <c r="H156" s="31" t="n">
        <v>1</v>
      </c>
      <c r="I156" s="16" t="n">
        <v>1899</v>
      </c>
      <c r="J156" s="32" t="n">
        <v>0.05</v>
      </c>
      <c r="K156" s="16">
        <f>H156*I156</f>
        <v/>
      </c>
      <c r="L156" s="16">
        <f>K156*J156</f>
        <v/>
      </c>
      <c r="M156" s="16">
        <f>K156-L156</f>
        <v/>
      </c>
      <c r="N156" s="16" t="n">
        <v>1150</v>
      </c>
      <c r="O156" s="16">
        <f>M156-N156</f>
        <v/>
      </c>
      <c r="P156" s="17">
        <f>IFERROR(O156/M156, 0)</f>
        <v/>
      </c>
      <c r="Q156" s="29" t="inlineStr">
        <is>
          <t>Cancelled</t>
        </is>
      </c>
    </row>
    <row r="157">
      <c r="A157" s="33" t="n">
        <v>79</v>
      </c>
      <c r="B157" s="33" t="inlineStr">
        <is>
          <t>2025-01-29</t>
        </is>
      </c>
      <c r="C157" s="34" t="inlineStr">
        <is>
          <t>Rohit Sharma</t>
        </is>
      </c>
      <c r="D157" s="33" t="inlineStr">
        <is>
          <t>North</t>
        </is>
      </c>
      <c r="E157" s="34" t="inlineStr">
        <is>
          <t>Noida</t>
        </is>
      </c>
      <c r="F157" s="34" t="inlineStr">
        <is>
          <t>Skipping Rope with Digital Counter</t>
        </is>
      </c>
      <c r="G157" s="33" t="inlineStr">
        <is>
          <t>Sports</t>
        </is>
      </c>
      <c r="H157" s="35" t="n">
        <v>1</v>
      </c>
      <c r="I157" s="20" t="n">
        <v>499</v>
      </c>
      <c r="J157" s="36" t="n">
        <v>0</v>
      </c>
      <c r="K157" s="20">
        <f>H157*I157</f>
        <v/>
      </c>
      <c r="L157" s="20">
        <f>K157*J157</f>
        <v/>
      </c>
      <c r="M157" s="20">
        <f>K157-L157</f>
        <v/>
      </c>
      <c r="N157" s="20" t="n">
        <v>210</v>
      </c>
      <c r="O157" s="20">
        <f>M157-N157</f>
        <v/>
      </c>
      <c r="P157" s="21">
        <f>IFERROR(O157/M157, 0)</f>
        <v/>
      </c>
      <c r="Q157" s="33" t="inlineStr">
        <is>
          <t>Delivered</t>
        </is>
      </c>
    </row>
    <row r="158">
      <c r="A158" s="29" t="n">
        <v>80</v>
      </c>
      <c r="B158" s="29" t="inlineStr">
        <is>
          <t>2025-07-02</t>
        </is>
      </c>
      <c r="C158" s="30" t="inlineStr">
        <is>
          <t>Rohit Bhat</t>
        </is>
      </c>
      <c r="D158" s="29" t="inlineStr">
        <is>
          <t>Central</t>
        </is>
      </c>
      <c r="E158" s="30" t="inlineStr">
        <is>
          <t>Bhopal</t>
        </is>
      </c>
      <c r="F158" s="30" t="inlineStr">
        <is>
          <t>Organic Green Tea 100 Bags</t>
        </is>
      </c>
      <c r="G158" s="29" t="inlineStr">
        <is>
          <t>Groceries</t>
        </is>
      </c>
      <c r="H158" s="31" t="n">
        <v>1</v>
      </c>
      <c r="I158" s="16" t="n">
        <v>450</v>
      </c>
      <c r="J158" s="32" t="n">
        <v>0.12</v>
      </c>
      <c r="K158" s="16">
        <f>H158*I158</f>
        <v/>
      </c>
      <c r="L158" s="16">
        <f>K158*J158</f>
        <v/>
      </c>
      <c r="M158" s="16">
        <f>K158-L158</f>
        <v/>
      </c>
      <c r="N158" s="16" t="n">
        <v>260</v>
      </c>
      <c r="O158" s="16">
        <f>M158-N158</f>
        <v/>
      </c>
      <c r="P158" s="17">
        <f>IFERROR(O158/M158, 0)</f>
        <v/>
      </c>
      <c r="Q158" s="29" t="inlineStr">
        <is>
          <t>Delivered</t>
        </is>
      </c>
    </row>
    <row r="159">
      <c r="A159" s="33" t="n">
        <v>80</v>
      </c>
      <c r="B159" s="33" t="inlineStr">
        <is>
          <t>2025-07-02</t>
        </is>
      </c>
      <c r="C159" s="34" t="inlineStr">
        <is>
          <t>Rohit Bhat</t>
        </is>
      </c>
      <c r="D159" s="33" t="inlineStr">
        <is>
          <t>Central</t>
        </is>
      </c>
      <c r="E159" s="34" t="inlineStr">
        <is>
          <t>Bhopal</t>
        </is>
      </c>
      <c r="F159" s="34" t="inlineStr">
        <is>
          <t>Premium California Almonds 500g</t>
        </is>
      </c>
      <c r="G159" s="33" t="inlineStr">
        <is>
          <t>Groceries</t>
        </is>
      </c>
      <c r="H159" s="35" t="n">
        <v>1</v>
      </c>
      <c r="I159" s="20" t="n">
        <v>599</v>
      </c>
      <c r="J159" s="36" t="n">
        <v>0.12</v>
      </c>
      <c r="K159" s="20">
        <f>H159*I159</f>
        <v/>
      </c>
      <c r="L159" s="20">
        <f>K159*J159</f>
        <v/>
      </c>
      <c r="M159" s="20">
        <f>K159-L159</f>
        <v/>
      </c>
      <c r="N159" s="20" t="n">
        <v>380</v>
      </c>
      <c r="O159" s="20">
        <f>M159-N159</f>
        <v/>
      </c>
      <c r="P159" s="21">
        <f>IFERROR(O159/M159, 0)</f>
        <v/>
      </c>
      <c r="Q159" s="33" t="inlineStr">
        <is>
          <t>Delivered</t>
        </is>
      </c>
    </row>
    <row r="160">
      <c r="A160" s="29" t="n">
        <v>81</v>
      </c>
      <c r="B160" s="29" t="inlineStr">
        <is>
          <t>2025-10-04</t>
        </is>
      </c>
      <c r="C160" s="30" t="inlineStr">
        <is>
          <t>Aarav Rao</t>
        </is>
      </c>
      <c r="D160" s="29" t="inlineStr">
        <is>
          <t>East</t>
        </is>
      </c>
      <c r="E160" s="30" t="inlineStr">
        <is>
          <t>Patna</t>
        </is>
      </c>
      <c r="F160" s="30" t="inlineStr">
        <is>
          <t>Anti-Skid Yoga Mat 6mm</t>
        </is>
      </c>
      <c r="G160" s="29" t="inlineStr">
        <is>
          <t>Sports</t>
        </is>
      </c>
      <c r="H160" s="31" t="n">
        <v>4</v>
      </c>
      <c r="I160" s="16" t="n">
        <v>999</v>
      </c>
      <c r="J160" s="32" t="n">
        <v>0</v>
      </c>
      <c r="K160" s="16">
        <f>H160*I160</f>
        <v/>
      </c>
      <c r="L160" s="16">
        <f>K160*J160</f>
        <v/>
      </c>
      <c r="M160" s="16">
        <f>K160-L160</f>
        <v/>
      </c>
      <c r="N160" s="16" t="n">
        <v>1920</v>
      </c>
      <c r="O160" s="16">
        <f>M160-N160</f>
        <v/>
      </c>
      <c r="P160" s="17">
        <f>IFERROR(O160/M160, 0)</f>
        <v/>
      </c>
      <c r="Q160" s="29" t="inlineStr">
        <is>
          <t>Shipped</t>
        </is>
      </c>
    </row>
    <row r="161">
      <c r="A161" s="33" t="n">
        <v>82</v>
      </c>
      <c r="B161" s="33" t="inlineStr">
        <is>
          <t>2025-05-25</t>
        </is>
      </c>
      <c r="C161" s="34" t="inlineStr">
        <is>
          <t>Kunal Banerjee</t>
        </is>
      </c>
      <c r="D161" s="33" t="inlineStr">
        <is>
          <t>South</t>
        </is>
      </c>
      <c r="E161" s="34" t="inlineStr">
        <is>
          <t>Hyderabad</t>
        </is>
      </c>
      <c r="F161" s="34" t="inlineStr">
        <is>
          <t>Multipurpose Desk Organizer Set</t>
        </is>
      </c>
      <c r="G161" s="33" t="inlineStr">
        <is>
          <t>Home &amp; Living</t>
        </is>
      </c>
      <c r="H161" s="35" t="n">
        <v>3</v>
      </c>
      <c r="I161" s="20" t="n">
        <v>699</v>
      </c>
      <c r="J161" s="36" t="n">
        <v>0</v>
      </c>
      <c r="K161" s="20">
        <f>H161*I161</f>
        <v/>
      </c>
      <c r="L161" s="20">
        <f>K161*J161</f>
        <v/>
      </c>
      <c r="M161" s="20">
        <f>K161-L161</f>
        <v/>
      </c>
      <c r="N161" s="20" t="n">
        <v>870</v>
      </c>
      <c r="O161" s="20">
        <f>M161-N161</f>
        <v/>
      </c>
      <c r="P161" s="21">
        <f>IFERROR(O161/M161, 0)</f>
        <v/>
      </c>
      <c r="Q161" s="33" t="inlineStr">
        <is>
          <t>Delivered</t>
        </is>
      </c>
    </row>
    <row r="162">
      <c r="A162" s="29" t="n">
        <v>82</v>
      </c>
      <c r="B162" s="29" t="inlineStr">
        <is>
          <t>2025-05-25</t>
        </is>
      </c>
      <c r="C162" s="30" t="inlineStr">
        <is>
          <t>Kunal Banerjee</t>
        </is>
      </c>
      <c r="D162" s="29" t="inlineStr">
        <is>
          <t>South</t>
        </is>
      </c>
      <c r="E162" s="30" t="inlineStr">
        <is>
          <t>Hyderabad</t>
        </is>
      </c>
      <c r="F162" s="30" t="inlineStr">
        <is>
          <t>Insulated Stainless Steel Sipper Bottle</t>
        </is>
      </c>
      <c r="G162" s="29" t="inlineStr">
        <is>
          <t>Sports</t>
        </is>
      </c>
      <c r="H162" s="31" t="n">
        <v>3</v>
      </c>
      <c r="I162" s="16" t="n">
        <v>799</v>
      </c>
      <c r="J162" s="32" t="n">
        <v>0.05</v>
      </c>
      <c r="K162" s="16">
        <f>H162*I162</f>
        <v/>
      </c>
      <c r="L162" s="16">
        <f>K162*J162</f>
        <v/>
      </c>
      <c r="M162" s="16">
        <f>K162-L162</f>
        <v/>
      </c>
      <c r="N162" s="16" t="n">
        <v>1170</v>
      </c>
      <c r="O162" s="16">
        <f>M162-N162</f>
        <v/>
      </c>
      <c r="P162" s="17">
        <f>IFERROR(O162/M162, 0)</f>
        <v/>
      </c>
      <c r="Q162" s="29" t="inlineStr">
        <is>
          <t>Delivered</t>
        </is>
      </c>
    </row>
    <row r="163">
      <c r="A163" s="33" t="n">
        <v>83</v>
      </c>
      <c r="B163" s="33" t="inlineStr">
        <is>
          <t>2025-01-15</t>
        </is>
      </c>
      <c r="C163" s="34" t="inlineStr">
        <is>
          <t>Sunil Saxena</t>
        </is>
      </c>
      <c r="D163" s="33" t="inlineStr">
        <is>
          <t>East</t>
        </is>
      </c>
      <c r="E163" s="34" t="inlineStr">
        <is>
          <t>Guwahati</t>
        </is>
      </c>
      <c r="F163" s="34" t="inlineStr">
        <is>
          <t>Pure Raw Honey 500g</t>
        </is>
      </c>
      <c r="G163" s="33" t="inlineStr">
        <is>
          <t>Groceries</t>
        </is>
      </c>
      <c r="H163" s="35" t="n">
        <v>2</v>
      </c>
      <c r="I163" s="20" t="n">
        <v>399</v>
      </c>
      <c r="J163" s="36" t="n">
        <v>0.12</v>
      </c>
      <c r="K163" s="20">
        <f>H163*I163</f>
        <v/>
      </c>
      <c r="L163" s="20">
        <f>K163*J163</f>
        <v/>
      </c>
      <c r="M163" s="20">
        <f>K163-L163</f>
        <v/>
      </c>
      <c r="N163" s="20" t="n">
        <v>420</v>
      </c>
      <c r="O163" s="20">
        <f>M163-N163</f>
        <v/>
      </c>
      <c r="P163" s="21">
        <f>IFERROR(O163/M163, 0)</f>
        <v/>
      </c>
      <c r="Q163" s="33" t="inlineStr">
        <is>
          <t>Delivered</t>
        </is>
      </c>
    </row>
    <row r="164">
      <c r="A164" s="29" t="n">
        <v>84</v>
      </c>
      <c r="B164" s="29" t="inlineStr">
        <is>
          <t>2025-04-16</t>
        </is>
      </c>
      <c r="C164" s="30" t="inlineStr">
        <is>
          <t>Tarun Reddy</t>
        </is>
      </c>
      <c r="D164" s="29" t="inlineStr">
        <is>
          <t>North</t>
        </is>
      </c>
      <c r="E164" s="30" t="inlineStr">
        <is>
          <t>Lucknow</t>
        </is>
      </c>
      <c r="F164" s="30" t="inlineStr">
        <is>
          <t>Organic Green Tea 100 Bags</t>
        </is>
      </c>
      <c r="G164" s="29" t="inlineStr">
        <is>
          <t>Groceries</t>
        </is>
      </c>
      <c r="H164" s="31" t="n">
        <v>1</v>
      </c>
      <c r="I164" s="16" t="n">
        <v>450</v>
      </c>
      <c r="J164" s="32" t="n">
        <v>0.2</v>
      </c>
      <c r="K164" s="16">
        <f>H164*I164</f>
        <v/>
      </c>
      <c r="L164" s="16">
        <f>K164*J164</f>
        <v/>
      </c>
      <c r="M164" s="16">
        <f>K164-L164</f>
        <v/>
      </c>
      <c r="N164" s="16" t="n">
        <v>260</v>
      </c>
      <c r="O164" s="16">
        <f>M164-N164</f>
        <v/>
      </c>
      <c r="P164" s="17">
        <f>IFERROR(O164/M164, 0)</f>
        <v/>
      </c>
      <c r="Q164" s="29" t="inlineStr">
        <is>
          <t>Delivered</t>
        </is>
      </c>
    </row>
    <row r="165">
      <c r="A165" s="33" t="n">
        <v>84</v>
      </c>
      <c r="B165" s="33" t="inlineStr">
        <is>
          <t>2025-04-16</t>
        </is>
      </c>
      <c r="C165" s="34" t="inlineStr">
        <is>
          <t>Tarun Reddy</t>
        </is>
      </c>
      <c r="D165" s="33" t="inlineStr">
        <is>
          <t>North</t>
        </is>
      </c>
      <c r="E165" s="34" t="inlineStr">
        <is>
          <t>Lucknow</t>
        </is>
      </c>
      <c r="F165" s="34" t="inlineStr">
        <is>
          <t>Lightweight Running Sports Shoes</t>
        </is>
      </c>
      <c r="G165" s="33" t="inlineStr">
        <is>
          <t>Fashion</t>
        </is>
      </c>
      <c r="H165" s="35" t="n">
        <v>2</v>
      </c>
      <c r="I165" s="20" t="n">
        <v>3199</v>
      </c>
      <c r="J165" s="36" t="n">
        <v>0.2</v>
      </c>
      <c r="K165" s="20">
        <f>H165*I165</f>
        <v/>
      </c>
      <c r="L165" s="20">
        <f>K165*J165</f>
        <v/>
      </c>
      <c r="M165" s="20">
        <f>K165-L165</f>
        <v/>
      </c>
      <c r="N165" s="20" t="n">
        <v>3000</v>
      </c>
      <c r="O165" s="20">
        <f>M165-N165</f>
        <v/>
      </c>
      <c r="P165" s="21">
        <f>IFERROR(O165/M165, 0)</f>
        <v/>
      </c>
      <c r="Q165" s="33" t="inlineStr">
        <is>
          <t>Delivered</t>
        </is>
      </c>
    </row>
    <row r="166">
      <c r="A166" s="29" t="n">
        <v>84</v>
      </c>
      <c r="B166" s="29" t="inlineStr">
        <is>
          <t>2025-04-16</t>
        </is>
      </c>
      <c r="C166" s="30" t="inlineStr">
        <is>
          <t>Tarun Reddy</t>
        </is>
      </c>
      <c r="D166" s="29" t="inlineStr">
        <is>
          <t>North</t>
        </is>
      </c>
      <c r="E166" s="30" t="inlineStr">
        <is>
          <t>Lucknow</t>
        </is>
      </c>
      <c r="F166" s="30" t="inlineStr">
        <is>
          <t>Automatic Air Fryer 4.5L</t>
        </is>
      </c>
      <c r="G166" s="29" t="inlineStr">
        <is>
          <t>Home &amp; Living</t>
        </is>
      </c>
      <c r="H166" s="31" t="n">
        <v>2</v>
      </c>
      <c r="I166" s="16" t="n">
        <v>5499</v>
      </c>
      <c r="J166" s="32" t="n">
        <v>0.2</v>
      </c>
      <c r="K166" s="16">
        <f>H166*I166</f>
        <v/>
      </c>
      <c r="L166" s="16">
        <f>K166*J166</f>
        <v/>
      </c>
      <c r="M166" s="16">
        <f>K166-L166</f>
        <v/>
      </c>
      <c r="N166" s="16" t="n">
        <v>7200</v>
      </c>
      <c r="O166" s="16">
        <f>M166-N166</f>
        <v/>
      </c>
      <c r="P166" s="17">
        <f>IFERROR(O166/M166, 0)</f>
        <v/>
      </c>
      <c r="Q166" s="29" t="inlineStr">
        <is>
          <t>Delivered</t>
        </is>
      </c>
    </row>
    <row r="167">
      <c r="A167" s="33" t="n">
        <v>84</v>
      </c>
      <c r="B167" s="33" t="inlineStr">
        <is>
          <t>2025-04-16</t>
        </is>
      </c>
      <c r="C167" s="34" t="inlineStr">
        <is>
          <t>Tarun Reddy</t>
        </is>
      </c>
      <c r="D167" s="33" t="inlineStr">
        <is>
          <t>North</t>
        </is>
      </c>
      <c r="E167" s="34" t="inlineStr">
        <is>
          <t>Lucknow</t>
        </is>
      </c>
      <c r="F167" s="34" t="inlineStr">
        <is>
          <t>Pure Raw Honey 500g</t>
        </is>
      </c>
      <c r="G167" s="33" t="inlineStr">
        <is>
          <t>Groceries</t>
        </is>
      </c>
      <c r="H167" s="35" t="n">
        <v>1</v>
      </c>
      <c r="I167" s="20" t="n">
        <v>399</v>
      </c>
      <c r="J167" s="36" t="n">
        <v>0.2</v>
      </c>
      <c r="K167" s="20">
        <f>H167*I167</f>
        <v/>
      </c>
      <c r="L167" s="20">
        <f>K167*J167</f>
        <v/>
      </c>
      <c r="M167" s="20">
        <f>K167-L167</f>
        <v/>
      </c>
      <c r="N167" s="20" t="n">
        <v>210</v>
      </c>
      <c r="O167" s="20">
        <f>M167-N167</f>
        <v/>
      </c>
      <c r="P167" s="21">
        <f>IFERROR(O167/M167, 0)</f>
        <v/>
      </c>
      <c r="Q167" s="33" t="inlineStr">
        <is>
          <t>Delivered</t>
        </is>
      </c>
    </row>
    <row r="168">
      <c r="A168" s="29" t="n">
        <v>85</v>
      </c>
      <c r="B168" s="29" t="inlineStr">
        <is>
          <t>2025-06-09</t>
        </is>
      </c>
      <c r="C168" s="30" t="inlineStr">
        <is>
          <t>Rhea Rao</t>
        </is>
      </c>
      <c r="D168" s="29" t="inlineStr">
        <is>
          <t>Central</t>
        </is>
      </c>
      <c r="E168" s="30" t="inlineStr">
        <is>
          <t>Bhopal</t>
        </is>
      </c>
      <c r="F168" s="30" t="inlineStr">
        <is>
          <t>Double Bed Pure Cotton Bedsheet</t>
        </is>
      </c>
      <c r="G168" s="29" t="inlineStr">
        <is>
          <t>Home &amp; Living</t>
        </is>
      </c>
      <c r="H168" s="31" t="n">
        <v>1</v>
      </c>
      <c r="I168" s="16" t="n">
        <v>1599</v>
      </c>
      <c r="J168" s="32" t="n">
        <v>0.15</v>
      </c>
      <c r="K168" s="16">
        <f>H168*I168</f>
        <v/>
      </c>
      <c r="L168" s="16">
        <f>K168*J168</f>
        <v/>
      </c>
      <c r="M168" s="16">
        <f>K168-L168</f>
        <v/>
      </c>
      <c r="N168" s="16" t="n">
        <v>780</v>
      </c>
      <c r="O168" s="16">
        <f>M168-N168</f>
        <v/>
      </c>
      <c r="P168" s="17">
        <f>IFERROR(O168/M168, 0)</f>
        <v/>
      </c>
      <c r="Q168" s="29" t="inlineStr">
        <is>
          <t>Delivered</t>
        </is>
      </c>
    </row>
    <row r="169">
      <c r="A169" s="33" t="n">
        <v>85</v>
      </c>
      <c r="B169" s="33" t="inlineStr">
        <is>
          <t>2025-06-09</t>
        </is>
      </c>
      <c r="C169" s="34" t="inlineStr">
        <is>
          <t>Rhea Rao</t>
        </is>
      </c>
      <c r="D169" s="33" t="inlineStr">
        <is>
          <t>Central</t>
        </is>
      </c>
      <c r="E169" s="34" t="inlineStr">
        <is>
          <t>Bhopal</t>
        </is>
      </c>
      <c r="F169" s="34" t="inlineStr">
        <is>
          <t>Genuine Leather Bifold Wallet</t>
        </is>
      </c>
      <c r="G169" s="33" t="inlineStr">
        <is>
          <t>Fashion</t>
        </is>
      </c>
      <c r="H169" s="35" t="n">
        <v>1</v>
      </c>
      <c r="I169" s="20" t="n">
        <v>899</v>
      </c>
      <c r="J169" s="36" t="n">
        <v>0.1</v>
      </c>
      <c r="K169" s="20">
        <f>H169*I169</f>
        <v/>
      </c>
      <c r="L169" s="20">
        <f>K169*J169</f>
        <v/>
      </c>
      <c r="M169" s="20">
        <f>K169-L169</f>
        <v/>
      </c>
      <c r="N169" s="20" t="n">
        <v>380</v>
      </c>
      <c r="O169" s="20">
        <f>M169-N169</f>
        <v/>
      </c>
      <c r="P169" s="21">
        <f>IFERROR(O169/M169, 0)</f>
        <v/>
      </c>
      <c r="Q169" s="33" t="inlineStr">
        <is>
          <t>Delivered</t>
        </is>
      </c>
    </row>
    <row r="170">
      <c r="A170" s="29" t="n">
        <v>85</v>
      </c>
      <c r="B170" s="29" t="inlineStr">
        <is>
          <t>2025-06-09</t>
        </is>
      </c>
      <c r="C170" s="30" t="inlineStr">
        <is>
          <t>Rhea Rao</t>
        </is>
      </c>
      <c r="D170" s="29" t="inlineStr">
        <is>
          <t>Central</t>
        </is>
      </c>
      <c r="E170" s="30" t="inlineStr">
        <is>
          <t>Bhopal</t>
        </is>
      </c>
      <c r="F170" s="30" t="inlineStr">
        <is>
          <t>Automatic Air Fryer 4.5L</t>
        </is>
      </c>
      <c r="G170" s="29" t="inlineStr">
        <is>
          <t>Home &amp; Living</t>
        </is>
      </c>
      <c r="H170" s="31" t="n">
        <v>1</v>
      </c>
      <c r="I170" s="16" t="n">
        <v>5499</v>
      </c>
      <c r="J170" s="32" t="n">
        <v>0.05</v>
      </c>
      <c r="K170" s="16">
        <f>H170*I170</f>
        <v/>
      </c>
      <c r="L170" s="16">
        <f>K170*J170</f>
        <v/>
      </c>
      <c r="M170" s="16">
        <f>K170-L170</f>
        <v/>
      </c>
      <c r="N170" s="16" t="n">
        <v>3600</v>
      </c>
      <c r="O170" s="16">
        <f>M170-N170</f>
        <v/>
      </c>
      <c r="P170" s="17">
        <f>IFERROR(O170/M170, 0)</f>
        <v/>
      </c>
      <c r="Q170" s="29" t="inlineStr">
        <is>
          <t>Delivered</t>
        </is>
      </c>
    </row>
    <row r="171">
      <c r="A171" s="33" t="n">
        <v>86</v>
      </c>
      <c r="B171" s="33" t="inlineStr">
        <is>
          <t>2025-01-18</t>
        </is>
      </c>
      <c r="C171" s="34" t="inlineStr">
        <is>
          <t>Meera Bhat</t>
        </is>
      </c>
      <c r="D171" s="33" t="inlineStr">
        <is>
          <t>South</t>
        </is>
      </c>
      <c r="E171" s="34" t="inlineStr">
        <is>
          <t>Bengaluru</t>
        </is>
      </c>
      <c r="F171" s="34" t="inlineStr">
        <is>
          <t>Mechanical Gaming Keyboard</t>
        </is>
      </c>
      <c r="G171" s="33" t="inlineStr">
        <is>
          <t>Electronics</t>
        </is>
      </c>
      <c r="H171" s="35" t="n">
        <v>2</v>
      </c>
      <c r="I171" s="20" t="n">
        <v>3299</v>
      </c>
      <c r="J171" s="36" t="n">
        <v>0.05</v>
      </c>
      <c r="K171" s="20">
        <f>H171*I171</f>
        <v/>
      </c>
      <c r="L171" s="20">
        <f>K171*J171</f>
        <v/>
      </c>
      <c r="M171" s="20">
        <f>K171-L171</f>
        <v/>
      </c>
      <c r="N171" s="20" t="n">
        <v>4200</v>
      </c>
      <c r="O171" s="20">
        <f>M171-N171</f>
        <v/>
      </c>
      <c r="P171" s="21">
        <f>IFERROR(O171/M171, 0)</f>
        <v/>
      </c>
      <c r="Q171" s="33" t="inlineStr">
        <is>
          <t>Processing</t>
        </is>
      </c>
    </row>
    <row r="172">
      <c r="A172" s="29" t="n">
        <v>86</v>
      </c>
      <c r="B172" s="29" t="inlineStr">
        <is>
          <t>2025-01-18</t>
        </is>
      </c>
      <c r="C172" s="30" t="inlineStr">
        <is>
          <t>Meera Bhat</t>
        </is>
      </c>
      <c r="D172" s="29" t="inlineStr">
        <is>
          <t>South</t>
        </is>
      </c>
      <c r="E172" s="30" t="inlineStr">
        <is>
          <t>Bengaluru</t>
        </is>
      </c>
      <c r="F172" s="30" t="inlineStr">
        <is>
          <t>Double Bed Pure Cotton Bedsheet</t>
        </is>
      </c>
      <c r="G172" s="29" t="inlineStr">
        <is>
          <t>Home &amp; Living</t>
        </is>
      </c>
      <c r="H172" s="31" t="n">
        <v>2</v>
      </c>
      <c r="I172" s="16" t="n">
        <v>1599</v>
      </c>
      <c r="J172" s="32" t="n">
        <v>0.12</v>
      </c>
      <c r="K172" s="16">
        <f>H172*I172</f>
        <v/>
      </c>
      <c r="L172" s="16">
        <f>K172*J172</f>
        <v/>
      </c>
      <c r="M172" s="16">
        <f>K172-L172</f>
        <v/>
      </c>
      <c r="N172" s="16" t="n">
        <v>1560</v>
      </c>
      <c r="O172" s="16">
        <f>M172-N172</f>
        <v/>
      </c>
      <c r="P172" s="17">
        <f>IFERROR(O172/M172, 0)</f>
        <v/>
      </c>
      <c r="Q172" s="29" t="inlineStr">
        <is>
          <t>Processing</t>
        </is>
      </c>
    </row>
    <row r="173">
      <c r="A173" s="33" t="n">
        <v>86</v>
      </c>
      <c r="B173" s="33" t="inlineStr">
        <is>
          <t>2025-01-18</t>
        </is>
      </c>
      <c r="C173" s="34" t="inlineStr">
        <is>
          <t>Meera Bhat</t>
        </is>
      </c>
      <c r="D173" s="33" t="inlineStr">
        <is>
          <t>South</t>
        </is>
      </c>
      <c r="E173" s="34" t="inlineStr">
        <is>
          <t>Bengaluru</t>
        </is>
      </c>
      <c r="F173" s="34" t="inlineStr">
        <is>
          <t>Ergonomic Wireless Mouse</t>
        </is>
      </c>
      <c r="G173" s="33" t="inlineStr">
        <is>
          <t>Electronics</t>
        </is>
      </c>
      <c r="H173" s="35" t="n">
        <v>1</v>
      </c>
      <c r="I173" s="20" t="n">
        <v>1299</v>
      </c>
      <c r="J173" s="36" t="n">
        <v>0.12</v>
      </c>
      <c r="K173" s="20">
        <f>H173*I173</f>
        <v/>
      </c>
      <c r="L173" s="20">
        <f>K173*J173</f>
        <v/>
      </c>
      <c r="M173" s="20">
        <f>K173-L173</f>
        <v/>
      </c>
      <c r="N173" s="20" t="n">
        <v>750</v>
      </c>
      <c r="O173" s="20">
        <f>M173-N173</f>
        <v/>
      </c>
      <c r="P173" s="21">
        <f>IFERROR(O173/M173, 0)</f>
        <v/>
      </c>
      <c r="Q173" s="33" t="inlineStr">
        <is>
          <t>Processing</t>
        </is>
      </c>
    </row>
    <row r="174">
      <c r="A174" s="29" t="n">
        <v>87</v>
      </c>
      <c r="B174" s="29" t="inlineStr">
        <is>
          <t>2025-04-18</t>
        </is>
      </c>
      <c r="C174" s="30" t="inlineStr">
        <is>
          <t>Meera Patel</t>
        </is>
      </c>
      <c r="D174" s="29" t="inlineStr">
        <is>
          <t>North</t>
        </is>
      </c>
      <c r="E174" s="30" t="inlineStr">
        <is>
          <t>Gurgaon</t>
        </is>
      </c>
      <c r="F174" s="30" t="inlineStr">
        <is>
          <t>Orthopedic Memory Foam Pillow</t>
        </is>
      </c>
      <c r="G174" s="29" t="inlineStr">
        <is>
          <t>Home &amp; Living</t>
        </is>
      </c>
      <c r="H174" s="31" t="n">
        <v>3</v>
      </c>
      <c r="I174" s="16" t="n">
        <v>1799</v>
      </c>
      <c r="J174" s="32" t="n">
        <v>0.2</v>
      </c>
      <c r="K174" s="16">
        <f>H174*I174</f>
        <v/>
      </c>
      <c r="L174" s="16">
        <f>K174*J174</f>
        <v/>
      </c>
      <c r="M174" s="16">
        <f>K174-L174</f>
        <v/>
      </c>
      <c r="N174" s="16" t="n">
        <v>2850</v>
      </c>
      <c r="O174" s="16">
        <f>M174-N174</f>
        <v/>
      </c>
      <c r="P174" s="17">
        <f>IFERROR(O174/M174, 0)</f>
        <v/>
      </c>
      <c r="Q174" s="29" t="inlineStr">
        <is>
          <t>Processing</t>
        </is>
      </c>
    </row>
    <row r="175">
      <c r="A175" s="33" t="n">
        <v>88</v>
      </c>
      <c r="B175" s="33" t="inlineStr">
        <is>
          <t>2024-11-27</t>
        </is>
      </c>
      <c r="C175" s="34" t="inlineStr">
        <is>
          <t>Kiran Saxena</t>
        </is>
      </c>
      <c r="D175" s="33" t="inlineStr">
        <is>
          <t>North</t>
        </is>
      </c>
      <c r="E175" s="34" t="inlineStr">
        <is>
          <t>Lucknow</t>
        </is>
      </c>
      <c r="F175" s="34" t="inlineStr">
        <is>
          <t>Orthopedic Memory Foam Pillow</t>
        </is>
      </c>
      <c r="G175" s="33" t="inlineStr">
        <is>
          <t>Home &amp; Living</t>
        </is>
      </c>
      <c r="H175" s="35" t="n">
        <v>1</v>
      </c>
      <c r="I175" s="20" t="n">
        <v>1799</v>
      </c>
      <c r="J175" s="36" t="n">
        <v>0</v>
      </c>
      <c r="K175" s="20">
        <f>H175*I175</f>
        <v/>
      </c>
      <c r="L175" s="20">
        <f>K175*J175</f>
        <v/>
      </c>
      <c r="M175" s="20">
        <f>K175-L175</f>
        <v/>
      </c>
      <c r="N175" s="20" t="n">
        <v>950</v>
      </c>
      <c r="O175" s="20">
        <f>M175-N175</f>
        <v/>
      </c>
      <c r="P175" s="21">
        <f>IFERROR(O175/M175, 0)</f>
        <v/>
      </c>
      <c r="Q175" s="33" t="inlineStr">
        <is>
          <t>Delivered</t>
        </is>
      </c>
    </row>
    <row r="176">
      <c r="A176" s="29" t="n">
        <v>88</v>
      </c>
      <c r="B176" s="29" t="inlineStr">
        <is>
          <t>2024-11-27</t>
        </is>
      </c>
      <c r="C176" s="30" t="inlineStr">
        <is>
          <t>Kiran Saxena</t>
        </is>
      </c>
      <c r="D176" s="29" t="inlineStr">
        <is>
          <t>North</t>
        </is>
      </c>
      <c r="E176" s="30" t="inlineStr">
        <is>
          <t>Lucknow</t>
        </is>
      </c>
      <c r="F176" s="30" t="inlineStr">
        <is>
          <t>Ergonomic Wireless Mouse</t>
        </is>
      </c>
      <c r="G176" s="29" t="inlineStr">
        <is>
          <t>Electronics</t>
        </is>
      </c>
      <c r="H176" s="31" t="n">
        <v>1</v>
      </c>
      <c r="I176" s="16" t="n">
        <v>1299</v>
      </c>
      <c r="J176" s="32" t="n">
        <v>0.1</v>
      </c>
      <c r="K176" s="16">
        <f>H176*I176</f>
        <v/>
      </c>
      <c r="L176" s="16">
        <f>K176*J176</f>
        <v/>
      </c>
      <c r="M176" s="16">
        <f>K176-L176</f>
        <v/>
      </c>
      <c r="N176" s="16" t="n">
        <v>750</v>
      </c>
      <c r="O176" s="16">
        <f>M176-N176</f>
        <v/>
      </c>
      <c r="P176" s="17">
        <f>IFERROR(O176/M176, 0)</f>
        <v/>
      </c>
      <c r="Q176" s="29" t="inlineStr">
        <is>
          <t>Delivered</t>
        </is>
      </c>
    </row>
    <row r="177">
      <c r="A177" s="33" t="n">
        <v>89</v>
      </c>
      <c r="B177" s="33" t="inlineStr">
        <is>
          <t>2024-12-26</t>
        </is>
      </c>
      <c r="C177" s="34" t="inlineStr">
        <is>
          <t>Rhea Kulkarni</t>
        </is>
      </c>
      <c r="D177" s="33" t="inlineStr">
        <is>
          <t>South</t>
        </is>
      </c>
      <c r="E177" s="34" t="inlineStr">
        <is>
          <t>Chennai</t>
        </is>
      </c>
      <c r="F177" s="34" t="inlineStr">
        <is>
          <t>Orthopedic Memory Foam Pillow</t>
        </is>
      </c>
      <c r="G177" s="33" t="inlineStr">
        <is>
          <t>Home &amp; Living</t>
        </is>
      </c>
      <c r="H177" s="35" t="n">
        <v>1</v>
      </c>
      <c r="I177" s="20" t="n">
        <v>1799</v>
      </c>
      <c r="J177" s="36" t="n">
        <v>0.2</v>
      </c>
      <c r="K177" s="20">
        <f>H177*I177</f>
        <v/>
      </c>
      <c r="L177" s="20">
        <f>K177*J177</f>
        <v/>
      </c>
      <c r="M177" s="20">
        <f>K177-L177</f>
        <v/>
      </c>
      <c r="N177" s="20" t="n">
        <v>950</v>
      </c>
      <c r="O177" s="20">
        <f>M177-N177</f>
        <v/>
      </c>
      <c r="P177" s="21">
        <f>IFERROR(O177/M177, 0)</f>
        <v/>
      </c>
      <c r="Q177" s="33" t="inlineStr">
        <is>
          <t>Delivered</t>
        </is>
      </c>
    </row>
    <row r="178">
      <c r="A178" s="29" t="n">
        <v>89</v>
      </c>
      <c r="B178" s="29" t="inlineStr">
        <is>
          <t>2024-12-26</t>
        </is>
      </c>
      <c r="C178" s="30" t="inlineStr">
        <is>
          <t>Rhea Kulkarni</t>
        </is>
      </c>
      <c r="D178" s="29" t="inlineStr">
        <is>
          <t>South</t>
        </is>
      </c>
      <c r="E178" s="30" t="inlineStr">
        <is>
          <t>Chennai</t>
        </is>
      </c>
      <c r="F178" s="30" t="inlineStr">
        <is>
          <t>Ergonomic Wireless Mouse</t>
        </is>
      </c>
      <c r="G178" s="29" t="inlineStr">
        <is>
          <t>Electronics</t>
        </is>
      </c>
      <c r="H178" s="31" t="n">
        <v>1</v>
      </c>
      <c r="I178" s="16" t="n">
        <v>1299</v>
      </c>
      <c r="J178" s="32" t="n">
        <v>0.12</v>
      </c>
      <c r="K178" s="16">
        <f>H178*I178</f>
        <v/>
      </c>
      <c r="L178" s="16">
        <f>K178*J178</f>
        <v/>
      </c>
      <c r="M178" s="16">
        <f>K178-L178</f>
        <v/>
      </c>
      <c r="N178" s="16" t="n">
        <v>750</v>
      </c>
      <c r="O178" s="16">
        <f>M178-N178</f>
        <v/>
      </c>
      <c r="P178" s="17">
        <f>IFERROR(O178/M178, 0)</f>
        <v/>
      </c>
      <c r="Q178" s="29" t="inlineStr">
        <is>
          <t>Delivered</t>
        </is>
      </c>
    </row>
    <row r="179">
      <c r="A179" s="33" t="n">
        <v>89</v>
      </c>
      <c r="B179" s="33" t="inlineStr">
        <is>
          <t>2024-12-26</t>
        </is>
      </c>
      <c r="C179" s="34" t="inlineStr">
        <is>
          <t>Rhea Kulkarni</t>
        </is>
      </c>
      <c r="D179" s="33" t="inlineStr">
        <is>
          <t>South</t>
        </is>
      </c>
      <c r="E179" s="34" t="inlineStr">
        <is>
          <t>Chennai</t>
        </is>
      </c>
      <c r="F179" s="34" t="inlineStr">
        <is>
          <t>Unisex Classic Denim Jeans</t>
        </is>
      </c>
      <c r="G179" s="33" t="inlineStr">
        <is>
          <t>Fashion</t>
        </is>
      </c>
      <c r="H179" s="35" t="n">
        <v>4</v>
      </c>
      <c r="I179" s="20" t="n">
        <v>2499</v>
      </c>
      <c r="J179" s="36" t="n">
        <v>0.2</v>
      </c>
      <c r="K179" s="20">
        <f>H179*I179</f>
        <v/>
      </c>
      <c r="L179" s="20">
        <f>K179*J179</f>
        <v/>
      </c>
      <c r="M179" s="20">
        <f>K179-L179</f>
        <v/>
      </c>
      <c r="N179" s="20" t="n">
        <v>4400</v>
      </c>
      <c r="O179" s="20">
        <f>M179-N179</f>
        <v/>
      </c>
      <c r="P179" s="21">
        <f>IFERROR(O179/M179, 0)</f>
        <v/>
      </c>
      <c r="Q179" s="33" t="inlineStr">
        <is>
          <t>Delivered</t>
        </is>
      </c>
    </row>
    <row r="180">
      <c r="A180" s="29" t="n">
        <v>90</v>
      </c>
      <c r="B180" s="29" t="inlineStr">
        <is>
          <t>2025-09-11</t>
        </is>
      </c>
      <c r="C180" s="30" t="inlineStr">
        <is>
          <t>Neha Reddy</t>
        </is>
      </c>
      <c r="D180" s="29" t="inlineStr">
        <is>
          <t>East</t>
        </is>
      </c>
      <c r="E180" s="30" t="inlineStr">
        <is>
          <t>Bhubaneswar</t>
        </is>
      </c>
      <c r="F180" s="30" t="inlineStr">
        <is>
          <t>Ultra HD Smart LED TV 55-inch</t>
        </is>
      </c>
      <c r="G180" s="29" t="inlineStr">
        <is>
          <t>Electronics</t>
        </is>
      </c>
      <c r="H180" s="31" t="n">
        <v>3</v>
      </c>
      <c r="I180" s="16" t="n">
        <v>42999</v>
      </c>
      <c r="J180" s="32" t="n">
        <v>0.2</v>
      </c>
      <c r="K180" s="16">
        <f>H180*I180</f>
        <v/>
      </c>
      <c r="L180" s="16">
        <f>K180*J180</f>
        <v/>
      </c>
      <c r="M180" s="16">
        <f>K180-L180</f>
        <v/>
      </c>
      <c r="N180" s="16" t="n">
        <v>93000</v>
      </c>
      <c r="O180" s="16">
        <f>M180-N180</f>
        <v/>
      </c>
      <c r="P180" s="17">
        <f>IFERROR(O180/M180, 0)</f>
        <v/>
      </c>
      <c r="Q180" s="29" t="inlineStr">
        <is>
          <t>Processing</t>
        </is>
      </c>
    </row>
    <row r="181">
      <c r="A181" s="33" t="n">
        <v>90</v>
      </c>
      <c r="B181" s="33" t="inlineStr">
        <is>
          <t>2025-09-11</t>
        </is>
      </c>
      <c r="C181" s="34" t="inlineStr">
        <is>
          <t>Neha Reddy</t>
        </is>
      </c>
      <c r="D181" s="33" t="inlineStr">
        <is>
          <t>East</t>
        </is>
      </c>
      <c r="E181" s="34" t="inlineStr">
        <is>
          <t>Bhubaneswar</t>
        </is>
      </c>
      <c r="F181" s="34" t="inlineStr">
        <is>
          <t>Pure Raw Honey 500g</t>
        </is>
      </c>
      <c r="G181" s="33" t="inlineStr">
        <is>
          <t>Groceries</t>
        </is>
      </c>
      <c r="H181" s="35" t="n">
        <v>2</v>
      </c>
      <c r="I181" s="20" t="n">
        <v>399</v>
      </c>
      <c r="J181" s="36" t="n">
        <v>0</v>
      </c>
      <c r="K181" s="20">
        <f>H181*I181</f>
        <v/>
      </c>
      <c r="L181" s="20">
        <f>K181*J181</f>
        <v/>
      </c>
      <c r="M181" s="20">
        <f>K181-L181</f>
        <v/>
      </c>
      <c r="N181" s="20" t="n">
        <v>420</v>
      </c>
      <c r="O181" s="20">
        <f>M181-N181</f>
        <v/>
      </c>
      <c r="P181" s="21">
        <f>IFERROR(O181/M181, 0)</f>
        <v/>
      </c>
      <c r="Q181" s="33" t="inlineStr">
        <is>
          <t>Processing</t>
        </is>
      </c>
    </row>
    <row r="182">
      <c r="A182" s="29" t="n">
        <v>91</v>
      </c>
      <c r="B182" s="29" t="inlineStr">
        <is>
          <t>2025-03-20</t>
        </is>
      </c>
      <c r="C182" s="30" t="inlineStr">
        <is>
          <t>Vidya Verma</t>
        </is>
      </c>
      <c r="D182" s="29" t="inlineStr">
        <is>
          <t>East</t>
        </is>
      </c>
      <c r="E182" s="30" t="inlineStr">
        <is>
          <t>Ranchi</t>
        </is>
      </c>
      <c r="F182" s="30" t="inlineStr">
        <is>
          <t>Genuine Leather Bifold Wallet</t>
        </is>
      </c>
      <c r="G182" s="29" t="inlineStr">
        <is>
          <t>Fashion</t>
        </is>
      </c>
      <c r="H182" s="31" t="n">
        <v>1</v>
      </c>
      <c r="I182" s="16" t="n">
        <v>899</v>
      </c>
      <c r="J182" s="32" t="n">
        <v>0.2</v>
      </c>
      <c r="K182" s="16">
        <f>H182*I182</f>
        <v/>
      </c>
      <c r="L182" s="16">
        <f>K182*J182</f>
        <v/>
      </c>
      <c r="M182" s="16">
        <f>K182-L182</f>
        <v/>
      </c>
      <c r="N182" s="16" t="n">
        <v>380</v>
      </c>
      <c r="O182" s="16">
        <f>M182-N182</f>
        <v/>
      </c>
      <c r="P182" s="17">
        <f>IFERROR(O182/M182, 0)</f>
        <v/>
      </c>
      <c r="Q182" s="29" t="inlineStr">
        <is>
          <t>Processing</t>
        </is>
      </c>
    </row>
    <row r="183">
      <c r="A183" s="33" t="n">
        <v>91</v>
      </c>
      <c r="B183" s="33" t="inlineStr">
        <is>
          <t>2025-03-20</t>
        </is>
      </c>
      <c r="C183" s="34" t="inlineStr">
        <is>
          <t>Vidya Verma</t>
        </is>
      </c>
      <c r="D183" s="33" t="inlineStr">
        <is>
          <t>East</t>
        </is>
      </c>
      <c r="E183" s="34" t="inlineStr">
        <is>
          <t>Ranchi</t>
        </is>
      </c>
      <c r="F183" s="34" t="inlineStr">
        <is>
          <t>Orthopedic Memory Foam Pillow</t>
        </is>
      </c>
      <c r="G183" s="33" t="inlineStr">
        <is>
          <t>Home &amp; Living</t>
        </is>
      </c>
      <c r="H183" s="35" t="n">
        <v>1</v>
      </c>
      <c r="I183" s="20" t="n">
        <v>1799</v>
      </c>
      <c r="J183" s="36" t="n">
        <v>0.15</v>
      </c>
      <c r="K183" s="20">
        <f>H183*I183</f>
        <v/>
      </c>
      <c r="L183" s="20">
        <f>K183*J183</f>
        <v/>
      </c>
      <c r="M183" s="20">
        <f>K183-L183</f>
        <v/>
      </c>
      <c r="N183" s="20" t="n">
        <v>950</v>
      </c>
      <c r="O183" s="20">
        <f>M183-N183</f>
        <v/>
      </c>
      <c r="P183" s="21">
        <f>IFERROR(O183/M183, 0)</f>
        <v/>
      </c>
      <c r="Q183" s="33" t="inlineStr">
        <is>
          <t>Processing</t>
        </is>
      </c>
    </row>
    <row r="184">
      <c r="A184" s="29" t="n">
        <v>92</v>
      </c>
      <c r="B184" s="29" t="inlineStr">
        <is>
          <t>2024-12-06</t>
        </is>
      </c>
      <c r="C184" s="30" t="inlineStr">
        <is>
          <t>Suresh Banerjee</t>
        </is>
      </c>
      <c r="D184" s="29" t="inlineStr">
        <is>
          <t>North</t>
        </is>
      </c>
      <c r="E184" s="30" t="inlineStr">
        <is>
          <t>Chandigarh</t>
        </is>
      </c>
      <c r="F184" s="30" t="inlineStr">
        <is>
          <t>Ultra HD Smart LED TV 55-inch</t>
        </is>
      </c>
      <c r="G184" s="29" t="inlineStr">
        <is>
          <t>Electronics</t>
        </is>
      </c>
      <c r="H184" s="31" t="n">
        <v>2</v>
      </c>
      <c r="I184" s="16" t="n">
        <v>42999</v>
      </c>
      <c r="J184" s="32" t="n">
        <v>0</v>
      </c>
      <c r="K184" s="16">
        <f>H184*I184</f>
        <v/>
      </c>
      <c r="L184" s="16">
        <f>K184*J184</f>
        <v/>
      </c>
      <c r="M184" s="16">
        <f>K184-L184</f>
        <v/>
      </c>
      <c r="N184" s="16" t="n">
        <v>62000</v>
      </c>
      <c r="O184" s="16">
        <f>M184-N184</f>
        <v/>
      </c>
      <c r="P184" s="17">
        <f>IFERROR(O184/M184, 0)</f>
        <v/>
      </c>
      <c r="Q184" s="29" t="inlineStr">
        <is>
          <t>Delivered</t>
        </is>
      </c>
    </row>
    <row r="185">
      <c r="A185" s="33" t="n">
        <v>92</v>
      </c>
      <c r="B185" s="33" t="inlineStr">
        <is>
          <t>2024-12-06</t>
        </is>
      </c>
      <c r="C185" s="34" t="inlineStr">
        <is>
          <t>Suresh Banerjee</t>
        </is>
      </c>
      <c r="D185" s="33" t="inlineStr">
        <is>
          <t>North</t>
        </is>
      </c>
      <c r="E185" s="34" t="inlineStr">
        <is>
          <t>Chandigarh</t>
        </is>
      </c>
      <c r="F185" s="34" t="inlineStr">
        <is>
          <t>Mechanical Gaming Keyboard</t>
        </is>
      </c>
      <c r="G185" s="33" t="inlineStr">
        <is>
          <t>Electronics</t>
        </is>
      </c>
      <c r="H185" s="35" t="n">
        <v>1</v>
      </c>
      <c r="I185" s="20" t="n">
        <v>3299</v>
      </c>
      <c r="J185" s="36" t="n">
        <v>0.1</v>
      </c>
      <c r="K185" s="20">
        <f>H185*I185</f>
        <v/>
      </c>
      <c r="L185" s="20">
        <f>K185*J185</f>
        <v/>
      </c>
      <c r="M185" s="20">
        <f>K185-L185</f>
        <v/>
      </c>
      <c r="N185" s="20" t="n">
        <v>2100</v>
      </c>
      <c r="O185" s="20">
        <f>M185-N185</f>
        <v/>
      </c>
      <c r="P185" s="21">
        <f>IFERROR(O185/M185, 0)</f>
        <v/>
      </c>
      <c r="Q185" s="33" t="inlineStr">
        <is>
          <t>Delivered</t>
        </is>
      </c>
    </row>
    <row r="186">
      <c r="A186" s="29" t="n">
        <v>93</v>
      </c>
      <c r="B186" s="29" t="inlineStr">
        <is>
          <t>2025-01-20</t>
        </is>
      </c>
      <c r="C186" s="30" t="inlineStr">
        <is>
          <t>Rajesh Joshi</t>
        </is>
      </c>
      <c r="D186" s="29" t="inlineStr">
        <is>
          <t>West</t>
        </is>
      </c>
      <c r="E186" s="30" t="inlineStr">
        <is>
          <t>Surat</t>
        </is>
      </c>
      <c r="F186" s="30" t="inlineStr">
        <is>
          <t>Genuine Leather Bifold Wallet</t>
        </is>
      </c>
      <c r="G186" s="29" t="inlineStr">
        <is>
          <t>Fashion</t>
        </is>
      </c>
      <c r="H186" s="31" t="n">
        <v>2</v>
      </c>
      <c r="I186" s="16" t="n">
        <v>899</v>
      </c>
      <c r="J186" s="32" t="n">
        <v>0.12</v>
      </c>
      <c r="K186" s="16">
        <f>H186*I186</f>
        <v/>
      </c>
      <c r="L186" s="16">
        <f>K186*J186</f>
        <v/>
      </c>
      <c r="M186" s="16">
        <f>K186-L186</f>
        <v/>
      </c>
      <c r="N186" s="16" t="n">
        <v>760</v>
      </c>
      <c r="O186" s="16">
        <f>M186-N186</f>
        <v/>
      </c>
      <c r="P186" s="17">
        <f>IFERROR(O186/M186, 0)</f>
        <v/>
      </c>
      <c r="Q186" s="29" t="inlineStr">
        <is>
          <t>Delivered</t>
        </is>
      </c>
    </row>
    <row r="187">
      <c r="A187" s="33" t="n">
        <v>94</v>
      </c>
      <c r="B187" s="33" t="inlineStr">
        <is>
          <t>2024-12-14</t>
        </is>
      </c>
      <c r="C187" s="34" t="inlineStr">
        <is>
          <t>Rohit Mehta</t>
        </is>
      </c>
      <c r="D187" s="33" t="inlineStr">
        <is>
          <t>South</t>
        </is>
      </c>
      <c r="E187" s="34" t="inlineStr">
        <is>
          <t>Chennai</t>
        </is>
      </c>
      <c r="F187" s="34" t="inlineStr">
        <is>
          <t>Pure Raw Honey 500g</t>
        </is>
      </c>
      <c r="G187" s="33" t="inlineStr">
        <is>
          <t>Groceries</t>
        </is>
      </c>
      <c r="H187" s="35" t="n">
        <v>1</v>
      </c>
      <c r="I187" s="20" t="n">
        <v>399</v>
      </c>
      <c r="J187" s="36" t="n">
        <v>0</v>
      </c>
      <c r="K187" s="20">
        <f>H187*I187</f>
        <v/>
      </c>
      <c r="L187" s="20">
        <f>K187*J187</f>
        <v/>
      </c>
      <c r="M187" s="20">
        <f>K187-L187</f>
        <v/>
      </c>
      <c r="N187" s="20" t="n">
        <v>210</v>
      </c>
      <c r="O187" s="20">
        <f>M187-N187</f>
        <v/>
      </c>
      <c r="P187" s="21">
        <f>IFERROR(O187/M187, 0)</f>
        <v/>
      </c>
      <c r="Q187" s="33" t="inlineStr">
        <is>
          <t>Delivered</t>
        </is>
      </c>
    </row>
    <row r="188">
      <c r="A188" s="29" t="n">
        <v>95</v>
      </c>
      <c r="B188" s="29" t="inlineStr">
        <is>
          <t>2025-06-15</t>
        </is>
      </c>
      <c r="C188" s="30" t="inlineStr">
        <is>
          <t>Alok Kulkarni</t>
        </is>
      </c>
      <c r="D188" s="29" t="inlineStr">
        <is>
          <t>East</t>
        </is>
      </c>
      <c r="E188" s="30" t="inlineStr">
        <is>
          <t>Bhubaneswar</t>
        </is>
      </c>
      <c r="F188" s="30" t="inlineStr">
        <is>
          <t>Pure Raw Honey 500g</t>
        </is>
      </c>
      <c r="G188" s="29" t="inlineStr">
        <is>
          <t>Groceries</t>
        </is>
      </c>
      <c r="H188" s="31" t="n">
        <v>1</v>
      </c>
      <c r="I188" s="16" t="n">
        <v>399</v>
      </c>
      <c r="J188" s="32" t="n">
        <v>0.05</v>
      </c>
      <c r="K188" s="16">
        <f>H188*I188</f>
        <v/>
      </c>
      <c r="L188" s="16">
        <f>K188*J188</f>
        <v/>
      </c>
      <c r="M188" s="16">
        <f>K188-L188</f>
        <v/>
      </c>
      <c r="N188" s="16" t="n">
        <v>210</v>
      </c>
      <c r="O188" s="16">
        <f>M188-N188</f>
        <v/>
      </c>
      <c r="P188" s="17">
        <f>IFERROR(O188/M188, 0)</f>
        <v/>
      </c>
      <c r="Q188" s="29" t="inlineStr">
        <is>
          <t>Processing</t>
        </is>
      </c>
    </row>
    <row r="189">
      <c r="A189" s="33" t="n">
        <v>96</v>
      </c>
      <c r="B189" s="33" t="inlineStr">
        <is>
          <t>2025-07-21</t>
        </is>
      </c>
      <c r="C189" s="34" t="inlineStr">
        <is>
          <t>Rhea Rao</t>
        </is>
      </c>
      <c r="D189" s="33" t="inlineStr">
        <is>
          <t>Central</t>
        </is>
      </c>
      <c r="E189" s="34" t="inlineStr">
        <is>
          <t>Bhopal</t>
        </is>
      </c>
      <c r="F189" s="34" t="inlineStr">
        <is>
          <t>Ergonomic Wireless Mouse</t>
        </is>
      </c>
      <c r="G189" s="33" t="inlineStr">
        <is>
          <t>Electronics</t>
        </is>
      </c>
      <c r="H189" s="35" t="n">
        <v>1</v>
      </c>
      <c r="I189" s="20" t="n">
        <v>1299</v>
      </c>
      <c r="J189" s="36" t="n">
        <v>0.15</v>
      </c>
      <c r="K189" s="20">
        <f>H189*I189</f>
        <v/>
      </c>
      <c r="L189" s="20">
        <f>K189*J189</f>
        <v/>
      </c>
      <c r="M189" s="20">
        <f>K189-L189</f>
        <v/>
      </c>
      <c r="N189" s="20" t="n">
        <v>750</v>
      </c>
      <c r="O189" s="20">
        <f>M189-N189</f>
        <v/>
      </c>
      <c r="P189" s="21">
        <f>IFERROR(O189/M189, 0)</f>
        <v/>
      </c>
      <c r="Q189" s="33" t="inlineStr">
        <is>
          <t>Delivered</t>
        </is>
      </c>
    </row>
    <row r="190">
      <c r="A190" s="29" t="n">
        <v>97</v>
      </c>
      <c r="B190" s="29" t="inlineStr">
        <is>
          <t>2025-07-08</t>
        </is>
      </c>
      <c r="C190" s="30" t="inlineStr">
        <is>
          <t>Anjali Singh</t>
        </is>
      </c>
      <c r="D190" s="29" t="inlineStr">
        <is>
          <t>North</t>
        </is>
      </c>
      <c r="E190" s="30" t="inlineStr">
        <is>
          <t>Gurgaon</t>
        </is>
      </c>
      <c r="F190" s="30" t="inlineStr">
        <is>
          <t>Wireless Noise-Cancelling Headphones</t>
        </is>
      </c>
      <c r="G190" s="29" t="inlineStr">
        <is>
          <t>Electronics</t>
        </is>
      </c>
      <c r="H190" s="31" t="n">
        <v>1</v>
      </c>
      <c r="I190" s="16" t="n">
        <v>7499</v>
      </c>
      <c r="J190" s="32" t="n">
        <v>0.12</v>
      </c>
      <c r="K190" s="16">
        <f>H190*I190</f>
        <v/>
      </c>
      <c r="L190" s="16">
        <f>K190*J190</f>
        <v/>
      </c>
      <c r="M190" s="16">
        <f>K190-L190</f>
        <v/>
      </c>
      <c r="N190" s="16" t="n">
        <v>4800</v>
      </c>
      <c r="O190" s="16">
        <f>M190-N190</f>
        <v/>
      </c>
      <c r="P190" s="17">
        <f>IFERROR(O190/M190, 0)</f>
        <v/>
      </c>
      <c r="Q190" s="29" t="inlineStr">
        <is>
          <t>Shipped</t>
        </is>
      </c>
    </row>
    <row r="191">
      <c r="A191" s="33" t="n">
        <v>97</v>
      </c>
      <c r="B191" s="33" t="inlineStr">
        <is>
          <t>2025-07-08</t>
        </is>
      </c>
      <c r="C191" s="34" t="inlineStr">
        <is>
          <t>Anjali Singh</t>
        </is>
      </c>
      <c r="D191" s="33" t="inlineStr">
        <is>
          <t>North</t>
        </is>
      </c>
      <c r="E191" s="34" t="inlineStr">
        <is>
          <t>Gurgaon</t>
        </is>
      </c>
      <c r="F191" s="34" t="inlineStr">
        <is>
          <t>Women Floral Embroidered Kurti</t>
        </is>
      </c>
      <c r="G191" s="33" t="inlineStr">
        <is>
          <t>Fashion</t>
        </is>
      </c>
      <c r="H191" s="35" t="n">
        <v>1</v>
      </c>
      <c r="I191" s="20" t="n">
        <v>1899</v>
      </c>
      <c r="J191" s="36" t="n">
        <v>0</v>
      </c>
      <c r="K191" s="20">
        <f>H191*I191</f>
        <v/>
      </c>
      <c r="L191" s="20">
        <f>K191*J191</f>
        <v/>
      </c>
      <c r="M191" s="20">
        <f>K191-L191</f>
        <v/>
      </c>
      <c r="N191" s="20" t="n">
        <v>800</v>
      </c>
      <c r="O191" s="20">
        <f>M191-N191</f>
        <v/>
      </c>
      <c r="P191" s="21">
        <f>IFERROR(O191/M191, 0)</f>
        <v/>
      </c>
      <c r="Q191" s="33" t="inlineStr">
        <is>
          <t>Shipped</t>
        </is>
      </c>
    </row>
    <row r="192">
      <c r="A192" s="29" t="n">
        <v>98</v>
      </c>
      <c r="B192" s="29" t="inlineStr">
        <is>
          <t>2025-02-17</t>
        </is>
      </c>
      <c r="C192" s="30" t="inlineStr">
        <is>
          <t>Kiran Gupta</t>
        </is>
      </c>
      <c r="D192" s="29" t="inlineStr">
        <is>
          <t>North</t>
        </is>
      </c>
      <c r="E192" s="30" t="inlineStr">
        <is>
          <t>Delhi</t>
        </is>
      </c>
      <c r="F192" s="30" t="inlineStr">
        <is>
          <t>Unisex Classic Denim Jeans</t>
        </is>
      </c>
      <c r="G192" s="29" t="inlineStr">
        <is>
          <t>Fashion</t>
        </is>
      </c>
      <c r="H192" s="31" t="n">
        <v>1</v>
      </c>
      <c r="I192" s="16" t="n">
        <v>2499</v>
      </c>
      <c r="J192" s="32" t="n">
        <v>0</v>
      </c>
      <c r="K192" s="16">
        <f>H192*I192</f>
        <v/>
      </c>
      <c r="L192" s="16">
        <f>K192*J192</f>
        <v/>
      </c>
      <c r="M192" s="16">
        <f>K192-L192</f>
        <v/>
      </c>
      <c r="N192" s="16" t="n">
        <v>1100</v>
      </c>
      <c r="O192" s="16">
        <f>M192-N192</f>
        <v/>
      </c>
      <c r="P192" s="17">
        <f>IFERROR(O192/M192, 0)</f>
        <v/>
      </c>
      <c r="Q192" s="29" t="inlineStr">
        <is>
          <t>Cancelled</t>
        </is>
      </c>
    </row>
    <row r="193">
      <c r="A193" s="33" t="n">
        <v>99</v>
      </c>
      <c r="B193" s="33" t="inlineStr">
        <is>
          <t>2025-07-13</t>
        </is>
      </c>
      <c r="C193" s="34" t="inlineStr">
        <is>
          <t>Pooja Sharma</t>
        </is>
      </c>
      <c r="D193" s="33" t="inlineStr">
        <is>
          <t>West</t>
        </is>
      </c>
      <c r="E193" s="34" t="inlineStr">
        <is>
          <t>Pune</t>
        </is>
      </c>
      <c r="F193" s="34" t="inlineStr">
        <is>
          <t>Smart Fitness Watch Pro</t>
        </is>
      </c>
      <c r="G193" s="33" t="inlineStr">
        <is>
          <t>Electronics</t>
        </is>
      </c>
      <c r="H193" s="35" t="n">
        <v>1</v>
      </c>
      <c r="I193" s="20" t="n">
        <v>4999</v>
      </c>
      <c r="J193" s="36" t="n">
        <v>0.15</v>
      </c>
      <c r="K193" s="20">
        <f>H193*I193</f>
        <v/>
      </c>
      <c r="L193" s="20">
        <f>K193*J193</f>
        <v/>
      </c>
      <c r="M193" s="20">
        <f>K193-L193</f>
        <v/>
      </c>
      <c r="N193" s="20" t="n">
        <v>3200</v>
      </c>
      <c r="O193" s="20">
        <f>M193-N193</f>
        <v/>
      </c>
      <c r="P193" s="21">
        <f>IFERROR(O193/M193, 0)</f>
        <v/>
      </c>
      <c r="Q193" s="33" t="inlineStr">
        <is>
          <t>Processing</t>
        </is>
      </c>
    </row>
    <row r="194">
      <c r="A194" s="29" t="n">
        <v>100</v>
      </c>
      <c r="B194" s="29" t="inlineStr">
        <is>
          <t>2025-07-15</t>
        </is>
      </c>
      <c r="C194" s="30" t="inlineStr">
        <is>
          <t>Suresh Saxena</t>
        </is>
      </c>
      <c r="D194" s="29" t="inlineStr">
        <is>
          <t>Central</t>
        </is>
      </c>
      <c r="E194" s="30" t="inlineStr">
        <is>
          <t>Bhopal</t>
        </is>
      </c>
      <c r="F194" s="30" t="inlineStr">
        <is>
          <t>Orthopedic Memory Foam Pillow</t>
        </is>
      </c>
      <c r="G194" s="29" t="inlineStr">
        <is>
          <t>Home &amp; Living</t>
        </is>
      </c>
      <c r="H194" s="31" t="n">
        <v>3</v>
      </c>
      <c r="I194" s="16" t="n">
        <v>1799</v>
      </c>
      <c r="J194" s="32" t="n">
        <v>0</v>
      </c>
      <c r="K194" s="16">
        <f>H194*I194</f>
        <v/>
      </c>
      <c r="L194" s="16">
        <f>K194*J194</f>
        <v/>
      </c>
      <c r="M194" s="16">
        <f>K194-L194</f>
        <v/>
      </c>
      <c r="N194" s="16" t="n">
        <v>2850</v>
      </c>
      <c r="O194" s="16">
        <f>M194-N194</f>
        <v/>
      </c>
      <c r="P194" s="17">
        <f>IFERROR(O194/M194, 0)</f>
        <v/>
      </c>
      <c r="Q194" s="29" t="inlineStr">
        <is>
          <t>Shipped</t>
        </is>
      </c>
    </row>
    <row r="195">
      <c r="A195" s="33" t="n">
        <v>100</v>
      </c>
      <c r="B195" s="33" t="inlineStr">
        <is>
          <t>2025-07-15</t>
        </is>
      </c>
      <c r="C195" s="34" t="inlineStr">
        <is>
          <t>Suresh Saxena</t>
        </is>
      </c>
      <c r="D195" s="33" t="inlineStr">
        <is>
          <t>Central</t>
        </is>
      </c>
      <c r="E195" s="34" t="inlineStr">
        <is>
          <t>Bhopal</t>
        </is>
      </c>
      <c r="F195" s="34" t="inlineStr">
        <is>
          <t>Mechanical Gaming Keyboard</t>
        </is>
      </c>
      <c r="G195" s="33" t="inlineStr">
        <is>
          <t>Electronics</t>
        </is>
      </c>
      <c r="H195" s="35" t="n">
        <v>1</v>
      </c>
      <c r="I195" s="20" t="n">
        <v>3299</v>
      </c>
      <c r="J195" s="36" t="n">
        <v>0.1</v>
      </c>
      <c r="K195" s="20">
        <f>H195*I195</f>
        <v/>
      </c>
      <c r="L195" s="20">
        <f>K195*J195</f>
        <v/>
      </c>
      <c r="M195" s="20">
        <f>K195-L195</f>
        <v/>
      </c>
      <c r="N195" s="20" t="n">
        <v>2100</v>
      </c>
      <c r="O195" s="20">
        <f>M195-N195</f>
        <v/>
      </c>
      <c r="P195" s="21">
        <f>IFERROR(O195/M195, 0)</f>
        <v/>
      </c>
      <c r="Q195" s="33" t="inlineStr">
        <is>
          <t>Shipped</t>
        </is>
      </c>
    </row>
    <row r="196">
      <c r="A196" s="29" t="n">
        <v>100</v>
      </c>
      <c r="B196" s="29" t="inlineStr">
        <is>
          <t>2025-07-15</t>
        </is>
      </c>
      <c r="C196" s="30" t="inlineStr">
        <is>
          <t>Suresh Saxena</t>
        </is>
      </c>
      <c r="D196" s="29" t="inlineStr">
        <is>
          <t>Central</t>
        </is>
      </c>
      <c r="E196" s="30" t="inlineStr">
        <is>
          <t>Bhopal</t>
        </is>
      </c>
      <c r="F196" s="30" t="inlineStr">
        <is>
          <t>Stainless Steel Electric Kettle 1.8L</t>
        </is>
      </c>
      <c r="G196" s="29" t="inlineStr">
        <is>
          <t>Home &amp; Living</t>
        </is>
      </c>
      <c r="H196" s="31" t="n">
        <v>3</v>
      </c>
      <c r="I196" s="16" t="n">
        <v>1299</v>
      </c>
      <c r="J196" s="32" t="n">
        <v>0.2</v>
      </c>
      <c r="K196" s="16">
        <f>H196*I196</f>
        <v/>
      </c>
      <c r="L196" s="16">
        <f>K196*J196</f>
        <v/>
      </c>
      <c r="M196" s="16">
        <f>K196-L196</f>
        <v/>
      </c>
      <c r="N196" s="16" t="n">
        <v>2160</v>
      </c>
      <c r="O196" s="16">
        <f>M196-N196</f>
        <v/>
      </c>
      <c r="P196" s="17">
        <f>IFERROR(O196/M196, 0)</f>
        <v/>
      </c>
      <c r="Q196" s="29" t="inlineStr">
        <is>
          <t>Shipped</t>
        </is>
      </c>
    </row>
    <row r="197">
      <c r="A197" s="33" t="n">
        <v>101</v>
      </c>
      <c r="B197" s="33" t="inlineStr">
        <is>
          <t>2025-08-22</t>
        </is>
      </c>
      <c r="C197" s="34" t="inlineStr">
        <is>
          <t>Rhea Gupta</t>
        </is>
      </c>
      <c r="D197" s="33" t="inlineStr">
        <is>
          <t>West</t>
        </is>
      </c>
      <c r="E197" s="34" t="inlineStr">
        <is>
          <t>Surat</t>
        </is>
      </c>
      <c r="F197" s="34" t="inlineStr">
        <is>
          <t>Insulated Stainless Steel Sipper Bottle</t>
        </is>
      </c>
      <c r="G197" s="33" t="inlineStr">
        <is>
          <t>Sports</t>
        </is>
      </c>
      <c r="H197" s="35" t="n">
        <v>1</v>
      </c>
      <c r="I197" s="20" t="n">
        <v>799</v>
      </c>
      <c r="J197" s="36" t="n">
        <v>0</v>
      </c>
      <c r="K197" s="20">
        <f>H197*I197</f>
        <v/>
      </c>
      <c r="L197" s="20">
        <f>K197*J197</f>
        <v/>
      </c>
      <c r="M197" s="20">
        <f>K197-L197</f>
        <v/>
      </c>
      <c r="N197" s="20" t="n">
        <v>390</v>
      </c>
      <c r="O197" s="20">
        <f>M197-N197</f>
        <v/>
      </c>
      <c r="P197" s="21">
        <f>IFERROR(O197/M197, 0)</f>
        <v/>
      </c>
      <c r="Q197" s="33" t="inlineStr">
        <is>
          <t>Delivered</t>
        </is>
      </c>
    </row>
    <row r="198">
      <c r="A198" s="29" t="n">
        <v>101</v>
      </c>
      <c r="B198" s="29" t="inlineStr">
        <is>
          <t>2025-08-22</t>
        </is>
      </c>
      <c r="C198" s="30" t="inlineStr">
        <is>
          <t>Rhea Gupta</t>
        </is>
      </c>
      <c r="D198" s="29" t="inlineStr">
        <is>
          <t>West</t>
        </is>
      </c>
      <c r="E198" s="30" t="inlineStr">
        <is>
          <t>Surat</t>
        </is>
      </c>
      <c r="F198" s="30" t="inlineStr">
        <is>
          <t>Anti-Skid Yoga Mat 6mm</t>
        </is>
      </c>
      <c r="G198" s="29" t="inlineStr">
        <is>
          <t>Sports</t>
        </is>
      </c>
      <c r="H198" s="31" t="n">
        <v>1</v>
      </c>
      <c r="I198" s="16" t="n">
        <v>999</v>
      </c>
      <c r="J198" s="32" t="n">
        <v>0.05</v>
      </c>
      <c r="K198" s="16">
        <f>H198*I198</f>
        <v/>
      </c>
      <c r="L198" s="16">
        <f>K198*J198</f>
        <v/>
      </c>
      <c r="M198" s="16">
        <f>K198-L198</f>
        <v/>
      </c>
      <c r="N198" s="16" t="n">
        <v>480</v>
      </c>
      <c r="O198" s="16">
        <f>M198-N198</f>
        <v/>
      </c>
      <c r="P198" s="17">
        <f>IFERROR(O198/M198, 0)</f>
        <v/>
      </c>
      <c r="Q198" s="29" t="inlineStr">
        <is>
          <t>Delivered</t>
        </is>
      </c>
    </row>
    <row r="199">
      <c r="A199" s="33" t="n">
        <v>102</v>
      </c>
      <c r="B199" s="33" t="inlineStr">
        <is>
          <t>2025-09-13</t>
        </is>
      </c>
      <c r="C199" s="34" t="inlineStr">
        <is>
          <t>Manoj Singh</t>
        </is>
      </c>
      <c r="D199" s="33" t="inlineStr">
        <is>
          <t>Central</t>
        </is>
      </c>
      <c r="E199" s="34" t="inlineStr">
        <is>
          <t>Jabalpur</t>
        </is>
      </c>
      <c r="F199" s="34" t="inlineStr">
        <is>
          <t>Orthopedic Memory Foam Pillow</t>
        </is>
      </c>
      <c r="G199" s="33" t="inlineStr">
        <is>
          <t>Home &amp; Living</t>
        </is>
      </c>
      <c r="H199" s="35" t="n">
        <v>2</v>
      </c>
      <c r="I199" s="20" t="n">
        <v>1799</v>
      </c>
      <c r="J199" s="36" t="n">
        <v>0</v>
      </c>
      <c r="K199" s="20">
        <f>H199*I199</f>
        <v/>
      </c>
      <c r="L199" s="20">
        <f>K199*J199</f>
        <v/>
      </c>
      <c r="M199" s="20">
        <f>K199-L199</f>
        <v/>
      </c>
      <c r="N199" s="20" t="n">
        <v>1900</v>
      </c>
      <c r="O199" s="20">
        <f>M199-N199</f>
        <v/>
      </c>
      <c r="P199" s="21">
        <f>IFERROR(O199/M199, 0)</f>
        <v/>
      </c>
      <c r="Q199" s="33" t="inlineStr">
        <is>
          <t>Delivered</t>
        </is>
      </c>
    </row>
    <row r="200">
      <c r="A200" s="29" t="n">
        <v>102</v>
      </c>
      <c r="B200" s="29" t="inlineStr">
        <is>
          <t>2025-09-13</t>
        </is>
      </c>
      <c r="C200" s="30" t="inlineStr">
        <is>
          <t>Manoj Singh</t>
        </is>
      </c>
      <c r="D200" s="29" t="inlineStr">
        <is>
          <t>Central</t>
        </is>
      </c>
      <c r="E200" s="30" t="inlineStr">
        <is>
          <t>Jabalpur</t>
        </is>
      </c>
      <c r="F200" s="30" t="inlineStr">
        <is>
          <t>Mechanical Gaming Keyboard</t>
        </is>
      </c>
      <c r="G200" s="29" t="inlineStr">
        <is>
          <t>Electronics</t>
        </is>
      </c>
      <c r="H200" s="31" t="n">
        <v>1</v>
      </c>
      <c r="I200" s="16" t="n">
        <v>3299</v>
      </c>
      <c r="J200" s="32" t="n">
        <v>0.1</v>
      </c>
      <c r="K200" s="16">
        <f>H200*I200</f>
        <v/>
      </c>
      <c r="L200" s="16">
        <f>K200*J200</f>
        <v/>
      </c>
      <c r="M200" s="16">
        <f>K200-L200</f>
        <v/>
      </c>
      <c r="N200" s="16" t="n">
        <v>2100</v>
      </c>
      <c r="O200" s="16">
        <f>M200-N200</f>
        <v/>
      </c>
      <c r="P200" s="17">
        <f>IFERROR(O200/M200, 0)</f>
        <v/>
      </c>
      <c r="Q200" s="29" t="inlineStr">
        <is>
          <t>Delivered</t>
        </is>
      </c>
    </row>
    <row r="201">
      <c r="A201" s="33" t="n">
        <v>102</v>
      </c>
      <c r="B201" s="33" t="inlineStr">
        <is>
          <t>2025-09-13</t>
        </is>
      </c>
      <c r="C201" s="34" t="inlineStr">
        <is>
          <t>Manoj Singh</t>
        </is>
      </c>
      <c r="D201" s="33" t="inlineStr">
        <is>
          <t>Central</t>
        </is>
      </c>
      <c r="E201" s="34" t="inlineStr">
        <is>
          <t>Jabalpur</t>
        </is>
      </c>
      <c r="F201" s="34" t="inlineStr">
        <is>
          <t>Double Bed Pure Cotton Bedsheet</t>
        </is>
      </c>
      <c r="G201" s="33" t="inlineStr">
        <is>
          <t>Home &amp; Living</t>
        </is>
      </c>
      <c r="H201" s="35" t="n">
        <v>1</v>
      </c>
      <c r="I201" s="20" t="n">
        <v>1599</v>
      </c>
      <c r="J201" s="36" t="n">
        <v>0.1</v>
      </c>
      <c r="K201" s="20">
        <f>H201*I201</f>
        <v/>
      </c>
      <c r="L201" s="20">
        <f>K201*J201</f>
        <v/>
      </c>
      <c r="M201" s="20">
        <f>K201-L201</f>
        <v/>
      </c>
      <c r="N201" s="20" t="n">
        <v>780</v>
      </c>
      <c r="O201" s="20">
        <f>M201-N201</f>
        <v/>
      </c>
      <c r="P201" s="21">
        <f>IFERROR(O201/M201, 0)</f>
        <v/>
      </c>
      <c r="Q201" s="33" t="inlineStr">
        <is>
          <t>Delivered</t>
        </is>
      </c>
    </row>
    <row r="202">
      <c r="A202" s="29" t="n">
        <v>103</v>
      </c>
      <c r="B202" s="29" t="inlineStr">
        <is>
          <t>2025-04-23</t>
        </is>
      </c>
      <c r="C202" s="30" t="inlineStr">
        <is>
          <t>Manoj Verma</t>
        </is>
      </c>
      <c r="D202" s="29" t="inlineStr">
        <is>
          <t>North</t>
        </is>
      </c>
      <c r="E202" s="30" t="inlineStr">
        <is>
          <t>Gurgaon</t>
        </is>
      </c>
      <c r="F202" s="30" t="inlineStr">
        <is>
          <t>Fast Charging Power Bank 20000mAh</t>
        </is>
      </c>
      <c r="G202" s="29" t="inlineStr">
        <is>
          <t>Electronics</t>
        </is>
      </c>
      <c r="H202" s="31" t="n">
        <v>1</v>
      </c>
      <c r="I202" s="16" t="n">
        <v>1899</v>
      </c>
      <c r="J202" s="32" t="n">
        <v>0.15</v>
      </c>
      <c r="K202" s="16">
        <f>H202*I202</f>
        <v/>
      </c>
      <c r="L202" s="16">
        <f>K202*J202</f>
        <v/>
      </c>
      <c r="M202" s="16">
        <f>K202-L202</f>
        <v/>
      </c>
      <c r="N202" s="16" t="n">
        <v>1150</v>
      </c>
      <c r="O202" s="16">
        <f>M202-N202</f>
        <v/>
      </c>
      <c r="P202" s="17">
        <f>IFERROR(O202/M202, 0)</f>
        <v/>
      </c>
      <c r="Q202" s="29" t="inlineStr">
        <is>
          <t>Delivered</t>
        </is>
      </c>
    </row>
    <row r="203">
      <c r="A203" s="33" t="n">
        <v>104</v>
      </c>
      <c r="B203" s="33" t="inlineStr">
        <is>
          <t>2025-07-30</t>
        </is>
      </c>
      <c r="C203" s="34" t="inlineStr">
        <is>
          <t>Nandini Gupta</t>
        </is>
      </c>
      <c r="D203" s="33" t="inlineStr">
        <is>
          <t>South</t>
        </is>
      </c>
      <c r="E203" s="34" t="inlineStr">
        <is>
          <t>Kochi</t>
        </is>
      </c>
      <c r="F203" s="34" t="inlineStr">
        <is>
          <t>Orthopedic Memory Foam Pillow</t>
        </is>
      </c>
      <c r="G203" s="33" t="inlineStr">
        <is>
          <t>Home &amp; Living</t>
        </is>
      </c>
      <c r="H203" s="35" t="n">
        <v>1</v>
      </c>
      <c r="I203" s="20" t="n">
        <v>1799</v>
      </c>
      <c r="J203" s="36" t="n">
        <v>0.2</v>
      </c>
      <c r="K203" s="20">
        <f>H203*I203</f>
        <v/>
      </c>
      <c r="L203" s="20">
        <f>K203*J203</f>
        <v/>
      </c>
      <c r="M203" s="20">
        <f>K203-L203</f>
        <v/>
      </c>
      <c r="N203" s="20" t="n">
        <v>950</v>
      </c>
      <c r="O203" s="20">
        <f>M203-N203</f>
        <v/>
      </c>
      <c r="P203" s="21">
        <f>IFERROR(O203/M203, 0)</f>
        <v/>
      </c>
      <c r="Q203" s="33" t="inlineStr">
        <is>
          <t>Shipped</t>
        </is>
      </c>
    </row>
    <row r="204">
      <c r="A204" s="29" t="n">
        <v>105</v>
      </c>
      <c r="B204" s="29" t="inlineStr">
        <is>
          <t>2025-01-15</t>
        </is>
      </c>
      <c r="C204" s="30" t="inlineStr">
        <is>
          <t>Manoj Gupta</t>
        </is>
      </c>
      <c r="D204" s="29" t="inlineStr">
        <is>
          <t>North</t>
        </is>
      </c>
      <c r="E204" s="30" t="inlineStr">
        <is>
          <t>Lucknow</t>
        </is>
      </c>
      <c r="F204" s="30" t="inlineStr">
        <is>
          <t>Unisex Classic Denim Jeans</t>
        </is>
      </c>
      <c r="G204" s="29" t="inlineStr">
        <is>
          <t>Fashion</t>
        </is>
      </c>
      <c r="H204" s="31" t="n">
        <v>1</v>
      </c>
      <c r="I204" s="16" t="n">
        <v>2499</v>
      </c>
      <c r="J204" s="32" t="n">
        <v>0.12</v>
      </c>
      <c r="K204" s="16">
        <f>H204*I204</f>
        <v/>
      </c>
      <c r="L204" s="16">
        <f>K204*J204</f>
        <v/>
      </c>
      <c r="M204" s="16">
        <f>K204-L204</f>
        <v/>
      </c>
      <c r="N204" s="16" t="n">
        <v>1100</v>
      </c>
      <c r="O204" s="16">
        <f>M204-N204</f>
        <v/>
      </c>
      <c r="P204" s="17">
        <f>IFERROR(O204/M204, 0)</f>
        <v/>
      </c>
      <c r="Q204" s="29" t="inlineStr">
        <is>
          <t>Delivered</t>
        </is>
      </c>
    </row>
    <row r="205">
      <c r="A205" s="33" t="n">
        <v>106</v>
      </c>
      <c r="B205" s="33" t="inlineStr">
        <is>
          <t>2025-10-02</t>
        </is>
      </c>
      <c r="C205" s="34" t="inlineStr">
        <is>
          <t>Amit Gupta</t>
        </is>
      </c>
      <c r="D205" s="33" t="inlineStr">
        <is>
          <t>Central</t>
        </is>
      </c>
      <c r="E205" s="34" t="inlineStr">
        <is>
          <t>Gwalior</t>
        </is>
      </c>
      <c r="F205" s="34" t="inlineStr">
        <is>
          <t>Anti-Skid Yoga Mat 6mm</t>
        </is>
      </c>
      <c r="G205" s="33" t="inlineStr">
        <is>
          <t>Sports</t>
        </is>
      </c>
      <c r="H205" s="35" t="n">
        <v>1</v>
      </c>
      <c r="I205" s="20" t="n">
        <v>999</v>
      </c>
      <c r="J205" s="36" t="n">
        <v>0.2</v>
      </c>
      <c r="K205" s="20">
        <f>H205*I205</f>
        <v/>
      </c>
      <c r="L205" s="20">
        <f>K205*J205</f>
        <v/>
      </c>
      <c r="M205" s="20">
        <f>K205-L205</f>
        <v/>
      </c>
      <c r="N205" s="20" t="n">
        <v>480</v>
      </c>
      <c r="O205" s="20">
        <f>M205-N205</f>
        <v/>
      </c>
      <c r="P205" s="21">
        <f>IFERROR(O205/M205, 0)</f>
        <v/>
      </c>
      <c r="Q205" s="33" t="inlineStr">
        <is>
          <t>Delivered</t>
        </is>
      </c>
    </row>
    <row r="206">
      <c r="A206" s="29" t="n">
        <v>107</v>
      </c>
      <c r="B206" s="29" t="inlineStr">
        <is>
          <t>2025-08-24</t>
        </is>
      </c>
      <c r="C206" s="30" t="inlineStr">
        <is>
          <t>Kunal Rao</t>
        </is>
      </c>
      <c r="D206" s="29" t="inlineStr">
        <is>
          <t>East</t>
        </is>
      </c>
      <c r="E206" s="30" t="inlineStr">
        <is>
          <t>Guwahati</t>
        </is>
      </c>
      <c r="F206" s="30" t="inlineStr">
        <is>
          <t>Premium California Almonds 500g</t>
        </is>
      </c>
      <c r="G206" s="29" t="inlineStr">
        <is>
          <t>Groceries</t>
        </is>
      </c>
      <c r="H206" s="31" t="n">
        <v>2</v>
      </c>
      <c r="I206" s="16" t="n">
        <v>599</v>
      </c>
      <c r="J206" s="32" t="n">
        <v>0.12</v>
      </c>
      <c r="K206" s="16">
        <f>H206*I206</f>
        <v/>
      </c>
      <c r="L206" s="16">
        <f>K206*J206</f>
        <v/>
      </c>
      <c r="M206" s="16">
        <f>K206-L206</f>
        <v/>
      </c>
      <c r="N206" s="16" t="n">
        <v>760</v>
      </c>
      <c r="O206" s="16">
        <f>M206-N206</f>
        <v/>
      </c>
      <c r="P206" s="17">
        <f>IFERROR(O206/M206, 0)</f>
        <v/>
      </c>
      <c r="Q206" s="29" t="inlineStr">
        <is>
          <t>Delivered</t>
        </is>
      </c>
    </row>
    <row r="207">
      <c r="A207" s="33" t="n">
        <v>107</v>
      </c>
      <c r="B207" s="33" t="inlineStr">
        <is>
          <t>2025-08-24</t>
        </is>
      </c>
      <c r="C207" s="34" t="inlineStr">
        <is>
          <t>Kunal Rao</t>
        </is>
      </c>
      <c r="D207" s="33" t="inlineStr">
        <is>
          <t>East</t>
        </is>
      </c>
      <c r="E207" s="34" t="inlineStr">
        <is>
          <t>Guwahati</t>
        </is>
      </c>
      <c r="F207" s="34" t="inlineStr">
        <is>
          <t>Anti-Skid Yoga Mat 6mm</t>
        </is>
      </c>
      <c r="G207" s="33" t="inlineStr">
        <is>
          <t>Sports</t>
        </is>
      </c>
      <c r="H207" s="35" t="n">
        <v>1</v>
      </c>
      <c r="I207" s="20" t="n">
        <v>999</v>
      </c>
      <c r="J207" s="36" t="n">
        <v>0.15</v>
      </c>
      <c r="K207" s="20">
        <f>H207*I207</f>
        <v/>
      </c>
      <c r="L207" s="20">
        <f>K207*J207</f>
        <v/>
      </c>
      <c r="M207" s="20">
        <f>K207-L207</f>
        <v/>
      </c>
      <c r="N207" s="20" t="n">
        <v>480</v>
      </c>
      <c r="O207" s="20">
        <f>M207-N207</f>
        <v/>
      </c>
      <c r="P207" s="21">
        <f>IFERROR(O207/M207, 0)</f>
        <v/>
      </c>
      <c r="Q207" s="33" t="inlineStr">
        <is>
          <t>Delivered</t>
        </is>
      </c>
    </row>
    <row r="208">
      <c r="A208" s="29" t="n">
        <v>108</v>
      </c>
      <c r="B208" s="29" t="inlineStr">
        <is>
          <t>2025-01-17</t>
        </is>
      </c>
      <c r="C208" s="30" t="inlineStr">
        <is>
          <t>Rhea Gupta</t>
        </is>
      </c>
      <c r="D208" s="29" t="inlineStr">
        <is>
          <t>West</t>
        </is>
      </c>
      <c r="E208" s="30" t="inlineStr">
        <is>
          <t>Surat</t>
        </is>
      </c>
      <c r="F208" s="30" t="inlineStr">
        <is>
          <t>Automatic Air Fryer 4.5L</t>
        </is>
      </c>
      <c r="G208" s="29" t="inlineStr">
        <is>
          <t>Home &amp; Living</t>
        </is>
      </c>
      <c r="H208" s="31" t="n">
        <v>2</v>
      </c>
      <c r="I208" s="16" t="n">
        <v>5499</v>
      </c>
      <c r="J208" s="32" t="n">
        <v>0.2</v>
      </c>
      <c r="K208" s="16">
        <f>H208*I208</f>
        <v/>
      </c>
      <c r="L208" s="16">
        <f>K208*J208</f>
        <v/>
      </c>
      <c r="M208" s="16">
        <f>K208-L208</f>
        <v/>
      </c>
      <c r="N208" s="16" t="n">
        <v>7200</v>
      </c>
      <c r="O208" s="16">
        <f>M208-N208</f>
        <v/>
      </c>
      <c r="P208" s="17">
        <f>IFERROR(O208/M208, 0)</f>
        <v/>
      </c>
      <c r="Q208" s="29" t="inlineStr">
        <is>
          <t>Delivered</t>
        </is>
      </c>
    </row>
    <row r="209">
      <c r="A209" s="33" t="n">
        <v>109</v>
      </c>
      <c r="B209" s="33" t="inlineStr">
        <is>
          <t>2025-08-30</t>
        </is>
      </c>
      <c r="C209" s="34" t="inlineStr">
        <is>
          <t>Arjun Choudhury</t>
        </is>
      </c>
      <c r="D209" s="33" t="inlineStr">
        <is>
          <t>East</t>
        </is>
      </c>
      <c r="E209" s="34" t="inlineStr">
        <is>
          <t>Patna</t>
        </is>
      </c>
      <c r="F209" s="34" t="inlineStr">
        <is>
          <t>Mechanical Gaming Keyboard</t>
        </is>
      </c>
      <c r="G209" s="33" t="inlineStr">
        <is>
          <t>Electronics</t>
        </is>
      </c>
      <c r="H209" s="35" t="n">
        <v>1</v>
      </c>
      <c r="I209" s="20" t="n">
        <v>3299</v>
      </c>
      <c r="J209" s="36" t="n">
        <v>0.1</v>
      </c>
      <c r="K209" s="20">
        <f>H209*I209</f>
        <v/>
      </c>
      <c r="L209" s="20">
        <f>K209*J209</f>
        <v/>
      </c>
      <c r="M209" s="20">
        <f>K209-L209</f>
        <v/>
      </c>
      <c r="N209" s="20" t="n">
        <v>2100</v>
      </c>
      <c r="O209" s="20">
        <f>M209-N209</f>
        <v/>
      </c>
      <c r="P209" s="21">
        <f>IFERROR(O209/M209, 0)</f>
        <v/>
      </c>
      <c r="Q209" s="33" t="inlineStr">
        <is>
          <t>Delivered</t>
        </is>
      </c>
    </row>
    <row r="210">
      <c r="A210" s="29" t="n">
        <v>110</v>
      </c>
      <c r="B210" s="29" t="inlineStr">
        <is>
          <t>2024-11-30</t>
        </is>
      </c>
      <c r="C210" s="30" t="inlineStr">
        <is>
          <t>Nandini Joshi</t>
        </is>
      </c>
      <c r="D210" s="29" t="inlineStr">
        <is>
          <t>South</t>
        </is>
      </c>
      <c r="E210" s="30" t="inlineStr">
        <is>
          <t>Kochi</t>
        </is>
      </c>
      <c r="F210" s="30" t="inlineStr">
        <is>
          <t>Mechanical Gaming Keyboard</t>
        </is>
      </c>
      <c r="G210" s="29" t="inlineStr">
        <is>
          <t>Electronics</t>
        </is>
      </c>
      <c r="H210" s="31" t="n">
        <v>1</v>
      </c>
      <c r="I210" s="16" t="n">
        <v>3299</v>
      </c>
      <c r="J210" s="32" t="n">
        <v>0.1</v>
      </c>
      <c r="K210" s="16">
        <f>H210*I210</f>
        <v/>
      </c>
      <c r="L210" s="16">
        <f>K210*J210</f>
        <v/>
      </c>
      <c r="M210" s="16">
        <f>K210-L210</f>
        <v/>
      </c>
      <c r="N210" s="16" t="n">
        <v>2100</v>
      </c>
      <c r="O210" s="16">
        <f>M210-N210</f>
        <v/>
      </c>
      <c r="P210" s="17">
        <f>IFERROR(O210/M210, 0)</f>
        <v/>
      </c>
      <c r="Q210" s="29" t="inlineStr">
        <is>
          <t>Delivered</t>
        </is>
      </c>
    </row>
    <row r="211">
      <c r="A211" s="33" t="n">
        <v>110</v>
      </c>
      <c r="B211" s="33" t="inlineStr">
        <is>
          <t>2024-11-30</t>
        </is>
      </c>
      <c r="C211" s="34" t="inlineStr">
        <is>
          <t>Nandini Joshi</t>
        </is>
      </c>
      <c r="D211" s="33" t="inlineStr">
        <is>
          <t>South</t>
        </is>
      </c>
      <c r="E211" s="34" t="inlineStr">
        <is>
          <t>Kochi</t>
        </is>
      </c>
      <c r="F211" s="34" t="inlineStr">
        <is>
          <t>Anti-Skid Yoga Mat 6mm</t>
        </is>
      </c>
      <c r="G211" s="33" t="inlineStr">
        <is>
          <t>Sports</t>
        </is>
      </c>
      <c r="H211" s="35" t="n">
        <v>1</v>
      </c>
      <c r="I211" s="20" t="n">
        <v>999</v>
      </c>
      <c r="J211" s="36" t="n">
        <v>0.12</v>
      </c>
      <c r="K211" s="20">
        <f>H211*I211</f>
        <v/>
      </c>
      <c r="L211" s="20">
        <f>K211*J211</f>
        <v/>
      </c>
      <c r="M211" s="20">
        <f>K211-L211</f>
        <v/>
      </c>
      <c r="N211" s="20" t="n">
        <v>480</v>
      </c>
      <c r="O211" s="20">
        <f>M211-N211</f>
        <v/>
      </c>
      <c r="P211" s="21">
        <f>IFERROR(O211/M211, 0)</f>
        <v/>
      </c>
      <c r="Q211" s="33" t="inlineStr">
        <is>
          <t>Delivered</t>
        </is>
      </c>
    </row>
    <row r="212">
      <c r="A212" s="29" t="n">
        <v>110</v>
      </c>
      <c r="B212" s="29" t="inlineStr">
        <is>
          <t>2024-11-30</t>
        </is>
      </c>
      <c r="C212" s="30" t="inlineStr">
        <is>
          <t>Nandini Joshi</t>
        </is>
      </c>
      <c r="D212" s="29" t="inlineStr">
        <is>
          <t>South</t>
        </is>
      </c>
      <c r="E212" s="30" t="inlineStr">
        <is>
          <t>Kochi</t>
        </is>
      </c>
      <c r="F212" s="30" t="inlineStr">
        <is>
          <t>Pure Raw Honey 500g</t>
        </is>
      </c>
      <c r="G212" s="29" t="inlineStr">
        <is>
          <t>Groceries</t>
        </is>
      </c>
      <c r="H212" s="31" t="n">
        <v>4</v>
      </c>
      <c r="I212" s="16" t="n">
        <v>399</v>
      </c>
      <c r="J212" s="32" t="n">
        <v>0.15</v>
      </c>
      <c r="K212" s="16">
        <f>H212*I212</f>
        <v/>
      </c>
      <c r="L212" s="16">
        <f>K212*J212</f>
        <v/>
      </c>
      <c r="M212" s="16">
        <f>K212-L212</f>
        <v/>
      </c>
      <c r="N212" s="16" t="n">
        <v>840</v>
      </c>
      <c r="O212" s="16">
        <f>M212-N212</f>
        <v/>
      </c>
      <c r="P212" s="17">
        <f>IFERROR(O212/M212, 0)</f>
        <v/>
      </c>
      <c r="Q212" s="29" t="inlineStr">
        <is>
          <t>Delivered</t>
        </is>
      </c>
    </row>
    <row r="213">
      <c r="A213" s="33" t="n">
        <v>111</v>
      </c>
      <c r="B213" s="33" t="inlineStr">
        <is>
          <t>2025-06-19</t>
        </is>
      </c>
      <c r="C213" s="34" t="inlineStr">
        <is>
          <t>Aarav Rao</t>
        </is>
      </c>
      <c r="D213" s="33" t="inlineStr">
        <is>
          <t>East</t>
        </is>
      </c>
      <c r="E213" s="34" t="inlineStr">
        <is>
          <t>Patna</t>
        </is>
      </c>
      <c r="F213" s="34" t="inlineStr">
        <is>
          <t>Men Slim-Fit Cotton Casual Shirt</t>
        </is>
      </c>
      <c r="G213" s="33" t="inlineStr">
        <is>
          <t>Fashion</t>
        </is>
      </c>
      <c r="H213" s="35" t="n">
        <v>2</v>
      </c>
      <c r="I213" s="20" t="n">
        <v>1499</v>
      </c>
      <c r="J213" s="36" t="n">
        <v>0.12</v>
      </c>
      <c r="K213" s="20">
        <f>H213*I213</f>
        <v/>
      </c>
      <c r="L213" s="20">
        <f>K213*J213</f>
        <v/>
      </c>
      <c r="M213" s="20">
        <f>K213-L213</f>
        <v/>
      </c>
      <c r="N213" s="20" t="n">
        <v>1300</v>
      </c>
      <c r="O213" s="20">
        <f>M213-N213</f>
        <v/>
      </c>
      <c r="P213" s="21">
        <f>IFERROR(O213/M213, 0)</f>
        <v/>
      </c>
      <c r="Q213" s="33" t="inlineStr">
        <is>
          <t>Cancelled</t>
        </is>
      </c>
    </row>
    <row r="214">
      <c r="A214" s="29" t="n">
        <v>111</v>
      </c>
      <c r="B214" s="29" t="inlineStr">
        <is>
          <t>2025-06-19</t>
        </is>
      </c>
      <c r="C214" s="30" t="inlineStr">
        <is>
          <t>Aarav Rao</t>
        </is>
      </c>
      <c r="D214" s="29" t="inlineStr">
        <is>
          <t>East</t>
        </is>
      </c>
      <c r="E214" s="30" t="inlineStr">
        <is>
          <t>Patna</t>
        </is>
      </c>
      <c r="F214" s="30" t="inlineStr">
        <is>
          <t>Genuine Leather Bifold Wallet</t>
        </is>
      </c>
      <c r="G214" s="29" t="inlineStr">
        <is>
          <t>Fashion</t>
        </is>
      </c>
      <c r="H214" s="31" t="n">
        <v>1</v>
      </c>
      <c r="I214" s="16" t="n">
        <v>899</v>
      </c>
      <c r="J214" s="32" t="n">
        <v>0</v>
      </c>
      <c r="K214" s="16">
        <f>H214*I214</f>
        <v/>
      </c>
      <c r="L214" s="16">
        <f>K214*J214</f>
        <v/>
      </c>
      <c r="M214" s="16">
        <f>K214-L214</f>
        <v/>
      </c>
      <c r="N214" s="16" t="n">
        <v>380</v>
      </c>
      <c r="O214" s="16">
        <f>M214-N214</f>
        <v/>
      </c>
      <c r="P214" s="17">
        <f>IFERROR(O214/M214, 0)</f>
        <v/>
      </c>
      <c r="Q214" s="29" t="inlineStr">
        <is>
          <t>Cancelled</t>
        </is>
      </c>
    </row>
    <row r="215">
      <c r="A215" s="33" t="n">
        <v>112</v>
      </c>
      <c r="B215" s="33" t="inlineStr">
        <is>
          <t>2024-12-23</t>
        </is>
      </c>
      <c r="C215" s="34" t="inlineStr">
        <is>
          <t>Neha Verma</t>
        </is>
      </c>
      <c r="D215" s="33" t="inlineStr">
        <is>
          <t>Central</t>
        </is>
      </c>
      <c r="E215" s="34" t="inlineStr">
        <is>
          <t>Bhopal</t>
        </is>
      </c>
      <c r="F215" s="34" t="inlineStr">
        <is>
          <t>Genuine Leather Bifold Wallet</t>
        </is>
      </c>
      <c r="G215" s="33" t="inlineStr">
        <is>
          <t>Fashion</t>
        </is>
      </c>
      <c r="H215" s="35" t="n">
        <v>1</v>
      </c>
      <c r="I215" s="20" t="n">
        <v>899</v>
      </c>
      <c r="J215" s="36" t="n">
        <v>0</v>
      </c>
      <c r="K215" s="20">
        <f>H215*I215</f>
        <v/>
      </c>
      <c r="L215" s="20">
        <f>K215*J215</f>
        <v/>
      </c>
      <c r="M215" s="20">
        <f>K215-L215</f>
        <v/>
      </c>
      <c r="N215" s="20" t="n">
        <v>380</v>
      </c>
      <c r="O215" s="20">
        <f>M215-N215</f>
        <v/>
      </c>
      <c r="P215" s="21">
        <f>IFERROR(O215/M215, 0)</f>
        <v/>
      </c>
      <c r="Q215" s="33" t="inlineStr">
        <is>
          <t>Cancelled</t>
        </is>
      </c>
    </row>
    <row r="216">
      <c r="A216" s="29" t="n">
        <v>112</v>
      </c>
      <c r="B216" s="29" t="inlineStr">
        <is>
          <t>2024-12-23</t>
        </is>
      </c>
      <c r="C216" s="30" t="inlineStr">
        <is>
          <t>Neha Verma</t>
        </is>
      </c>
      <c r="D216" s="29" t="inlineStr">
        <is>
          <t>Central</t>
        </is>
      </c>
      <c r="E216" s="30" t="inlineStr">
        <is>
          <t>Bhopal</t>
        </is>
      </c>
      <c r="F216" s="30" t="inlineStr">
        <is>
          <t>Insulated Stainless Steel Sipper Bottle</t>
        </is>
      </c>
      <c r="G216" s="29" t="inlineStr">
        <is>
          <t>Sports</t>
        </is>
      </c>
      <c r="H216" s="31" t="n">
        <v>1</v>
      </c>
      <c r="I216" s="16" t="n">
        <v>799</v>
      </c>
      <c r="J216" s="32" t="n">
        <v>0.15</v>
      </c>
      <c r="K216" s="16">
        <f>H216*I216</f>
        <v/>
      </c>
      <c r="L216" s="16">
        <f>K216*J216</f>
        <v/>
      </c>
      <c r="M216" s="16">
        <f>K216-L216</f>
        <v/>
      </c>
      <c r="N216" s="16" t="n">
        <v>390</v>
      </c>
      <c r="O216" s="16">
        <f>M216-N216</f>
        <v/>
      </c>
      <c r="P216" s="17">
        <f>IFERROR(O216/M216, 0)</f>
        <v/>
      </c>
      <c r="Q216" s="29" t="inlineStr">
        <is>
          <t>Cancelled</t>
        </is>
      </c>
    </row>
    <row r="217">
      <c r="A217" s="33" t="n">
        <v>112</v>
      </c>
      <c r="B217" s="33" t="inlineStr">
        <is>
          <t>2024-12-23</t>
        </is>
      </c>
      <c r="C217" s="34" t="inlineStr">
        <is>
          <t>Neha Verma</t>
        </is>
      </c>
      <c r="D217" s="33" t="inlineStr">
        <is>
          <t>Central</t>
        </is>
      </c>
      <c r="E217" s="34" t="inlineStr">
        <is>
          <t>Bhopal</t>
        </is>
      </c>
      <c r="F217" s="34" t="inlineStr">
        <is>
          <t>Mechanical Gaming Keyboard</t>
        </is>
      </c>
      <c r="G217" s="33" t="inlineStr">
        <is>
          <t>Electronics</t>
        </is>
      </c>
      <c r="H217" s="35" t="n">
        <v>1</v>
      </c>
      <c r="I217" s="20" t="n">
        <v>3299</v>
      </c>
      <c r="J217" s="36" t="n">
        <v>0.1</v>
      </c>
      <c r="K217" s="20">
        <f>H217*I217</f>
        <v/>
      </c>
      <c r="L217" s="20">
        <f>K217*J217</f>
        <v/>
      </c>
      <c r="M217" s="20">
        <f>K217-L217</f>
        <v/>
      </c>
      <c r="N217" s="20" t="n">
        <v>2100</v>
      </c>
      <c r="O217" s="20">
        <f>M217-N217</f>
        <v/>
      </c>
      <c r="P217" s="21">
        <f>IFERROR(O217/M217, 0)</f>
        <v/>
      </c>
      <c r="Q217" s="33" t="inlineStr">
        <is>
          <t>Cancelled</t>
        </is>
      </c>
    </row>
    <row r="218">
      <c r="A218" s="29" t="n">
        <v>113</v>
      </c>
      <c r="B218" s="29" t="inlineStr">
        <is>
          <t>2025-07-26</t>
        </is>
      </c>
      <c r="C218" s="30" t="inlineStr">
        <is>
          <t>Rajesh Singh</t>
        </is>
      </c>
      <c r="D218" s="29" t="inlineStr">
        <is>
          <t>West</t>
        </is>
      </c>
      <c r="E218" s="30" t="inlineStr">
        <is>
          <t>Mumbai</t>
        </is>
      </c>
      <c r="F218" s="30" t="inlineStr">
        <is>
          <t>Orthopedic Memory Foam Pillow</t>
        </is>
      </c>
      <c r="G218" s="29" t="inlineStr">
        <is>
          <t>Home &amp; Living</t>
        </is>
      </c>
      <c r="H218" s="31" t="n">
        <v>3</v>
      </c>
      <c r="I218" s="16" t="n">
        <v>1799</v>
      </c>
      <c r="J218" s="32" t="n">
        <v>0.1</v>
      </c>
      <c r="K218" s="16">
        <f>H218*I218</f>
        <v/>
      </c>
      <c r="L218" s="16">
        <f>K218*J218</f>
        <v/>
      </c>
      <c r="M218" s="16">
        <f>K218-L218</f>
        <v/>
      </c>
      <c r="N218" s="16" t="n">
        <v>2850</v>
      </c>
      <c r="O218" s="16">
        <f>M218-N218</f>
        <v/>
      </c>
      <c r="P218" s="17">
        <f>IFERROR(O218/M218, 0)</f>
        <v/>
      </c>
      <c r="Q218" s="29" t="inlineStr">
        <is>
          <t>Shipped</t>
        </is>
      </c>
    </row>
    <row r="219">
      <c r="A219" s="33" t="n">
        <v>114</v>
      </c>
      <c r="B219" s="33" t="inlineStr">
        <is>
          <t>2025-04-23</t>
        </is>
      </c>
      <c r="C219" s="34" t="inlineStr">
        <is>
          <t>Simran Choudhury</t>
        </is>
      </c>
      <c r="D219" s="33" t="inlineStr">
        <is>
          <t>East</t>
        </is>
      </c>
      <c r="E219" s="34" t="inlineStr">
        <is>
          <t>Guwahati</t>
        </is>
      </c>
      <c r="F219" s="34" t="inlineStr">
        <is>
          <t>Anti-Skid Yoga Mat 6mm</t>
        </is>
      </c>
      <c r="G219" s="33" t="inlineStr">
        <is>
          <t>Sports</t>
        </is>
      </c>
      <c r="H219" s="35" t="n">
        <v>1</v>
      </c>
      <c r="I219" s="20" t="n">
        <v>999</v>
      </c>
      <c r="J219" s="36" t="n">
        <v>0</v>
      </c>
      <c r="K219" s="20">
        <f>H219*I219</f>
        <v/>
      </c>
      <c r="L219" s="20">
        <f>K219*J219</f>
        <v/>
      </c>
      <c r="M219" s="20">
        <f>K219-L219</f>
        <v/>
      </c>
      <c r="N219" s="20" t="n">
        <v>480</v>
      </c>
      <c r="O219" s="20">
        <f>M219-N219</f>
        <v/>
      </c>
      <c r="P219" s="21">
        <f>IFERROR(O219/M219, 0)</f>
        <v/>
      </c>
      <c r="Q219" s="33" t="inlineStr">
        <is>
          <t>Processing</t>
        </is>
      </c>
    </row>
    <row r="220">
      <c r="A220" s="29" t="n">
        <v>114</v>
      </c>
      <c r="B220" s="29" t="inlineStr">
        <is>
          <t>2025-04-23</t>
        </is>
      </c>
      <c r="C220" s="30" t="inlineStr">
        <is>
          <t>Simran Choudhury</t>
        </is>
      </c>
      <c r="D220" s="29" t="inlineStr">
        <is>
          <t>East</t>
        </is>
      </c>
      <c r="E220" s="30" t="inlineStr">
        <is>
          <t>Guwahati</t>
        </is>
      </c>
      <c r="F220" s="30" t="inlineStr">
        <is>
          <t>Genuine Leather Bifold Wallet</t>
        </is>
      </c>
      <c r="G220" s="29" t="inlineStr">
        <is>
          <t>Fashion</t>
        </is>
      </c>
      <c r="H220" s="31" t="n">
        <v>1</v>
      </c>
      <c r="I220" s="16" t="n">
        <v>899</v>
      </c>
      <c r="J220" s="32" t="n">
        <v>0.1</v>
      </c>
      <c r="K220" s="16">
        <f>H220*I220</f>
        <v/>
      </c>
      <c r="L220" s="16">
        <f>K220*J220</f>
        <v/>
      </c>
      <c r="M220" s="16">
        <f>K220-L220</f>
        <v/>
      </c>
      <c r="N220" s="16" t="n">
        <v>380</v>
      </c>
      <c r="O220" s="16">
        <f>M220-N220</f>
        <v/>
      </c>
      <c r="P220" s="17">
        <f>IFERROR(O220/M220, 0)</f>
        <v/>
      </c>
      <c r="Q220" s="29" t="inlineStr">
        <is>
          <t>Processing</t>
        </is>
      </c>
    </row>
    <row r="221">
      <c r="A221" s="33" t="n">
        <v>115</v>
      </c>
      <c r="B221" s="33" t="inlineStr">
        <is>
          <t>2025-03-10</t>
        </is>
      </c>
      <c r="C221" s="34" t="inlineStr">
        <is>
          <t>Alok Bhat</t>
        </is>
      </c>
      <c r="D221" s="33" t="inlineStr">
        <is>
          <t>North</t>
        </is>
      </c>
      <c r="E221" s="34" t="inlineStr">
        <is>
          <t>Noida</t>
        </is>
      </c>
      <c r="F221" s="34" t="inlineStr">
        <is>
          <t>Pure Raw Honey 500g</t>
        </is>
      </c>
      <c r="G221" s="33" t="inlineStr">
        <is>
          <t>Groceries</t>
        </is>
      </c>
      <c r="H221" s="35" t="n">
        <v>1</v>
      </c>
      <c r="I221" s="20" t="n">
        <v>399</v>
      </c>
      <c r="J221" s="36" t="n">
        <v>0.15</v>
      </c>
      <c r="K221" s="20">
        <f>H221*I221</f>
        <v/>
      </c>
      <c r="L221" s="20">
        <f>K221*J221</f>
        <v/>
      </c>
      <c r="M221" s="20">
        <f>K221-L221</f>
        <v/>
      </c>
      <c r="N221" s="20" t="n">
        <v>210</v>
      </c>
      <c r="O221" s="20">
        <f>M221-N221</f>
        <v/>
      </c>
      <c r="P221" s="21">
        <f>IFERROR(O221/M221, 0)</f>
        <v/>
      </c>
      <c r="Q221" s="33" t="inlineStr">
        <is>
          <t>Processing</t>
        </is>
      </c>
    </row>
    <row r="222">
      <c r="A222" s="29" t="n">
        <v>115</v>
      </c>
      <c r="B222" s="29" t="inlineStr">
        <is>
          <t>2025-03-10</t>
        </is>
      </c>
      <c r="C222" s="30" t="inlineStr">
        <is>
          <t>Alok Bhat</t>
        </is>
      </c>
      <c r="D222" s="29" t="inlineStr">
        <is>
          <t>North</t>
        </is>
      </c>
      <c r="E222" s="30" t="inlineStr">
        <is>
          <t>Noida</t>
        </is>
      </c>
      <c r="F222" s="30" t="inlineStr">
        <is>
          <t>Smart Fitness Watch Pro</t>
        </is>
      </c>
      <c r="G222" s="29" t="inlineStr">
        <is>
          <t>Electronics</t>
        </is>
      </c>
      <c r="H222" s="31" t="n">
        <v>1</v>
      </c>
      <c r="I222" s="16" t="n">
        <v>4999</v>
      </c>
      <c r="J222" s="32" t="n">
        <v>0.05</v>
      </c>
      <c r="K222" s="16">
        <f>H222*I222</f>
        <v/>
      </c>
      <c r="L222" s="16">
        <f>K222*J222</f>
        <v/>
      </c>
      <c r="M222" s="16">
        <f>K222-L222</f>
        <v/>
      </c>
      <c r="N222" s="16" t="n">
        <v>3200</v>
      </c>
      <c r="O222" s="16">
        <f>M222-N222</f>
        <v/>
      </c>
      <c r="P222" s="17">
        <f>IFERROR(O222/M222, 0)</f>
        <v/>
      </c>
      <c r="Q222" s="29" t="inlineStr">
        <is>
          <t>Processing</t>
        </is>
      </c>
    </row>
    <row r="223">
      <c r="A223" s="33" t="n">
        <v>115</v>
      </c>
      <c r="B223" s="33" t="inlineStr">
        <is>
          <t>2025-03-10</t>
        </is>
      </c>
      <c r="C223" s="34" t="inlineStr">
        <is>
          <t>Alok Bhat</t>
        </is>
      </c>
      <c r="D223" s="33" t="inlineStr">
        <is>
          <t>North</t>
        </is>
      </c>
      <c r="E223" s="34" t="inlineStr">
        <is>
          <t>Noida</t>
        </is>
      </c>
      <c r="F223" s="34" t="inlineStr">
        <is>
          <t>Genuine Leather Bifold Wallet</t>
        </is>
      </c>
      <c r="G223" s="33" t="inlineStr">
        <is>
          <t>Fashion</t>
        </is>
      </c>
      <c r="H223" s="35" t="n">
        <v>1</v>
      </c>
      <c r="I223" s="20" t="n">
        <v>899</v>
      </c>
      <c r="J223" s="36" t="n">
        <v>0.15</v>
      </c>
      <c r="K223" s="20">
        <f>H223*I223</f>
        <v/>
      </c>
      <c r="L223" s="20">
        <f>K223*J223</f>
        <v/>
      </c>
      <c r="M223" s="20">
        <f>K223-L223</f>
        <v/>
      </c>
      <c r="N223" s="20" t="n">
        <v>380</v>
      </c>
      <c r="O223" s="20">
        <f>M223-N223</f>
        <v/>
      </c>
      <c r="P223" s="21">
        <f>IFERROR(O223/M223, 0)</f>
        <v/>
      </c>
      <c r="Q223" s="33" t="inlineStr">
        <is>
          <t>Processing</t>
        </is>
      </c>
    </row>
    <row r="224">
      <c r="A224" s="29" t="n">
        <v>116</v>
      </c>
      <c r="B224" s="29" t="inlineStr">
        <is>
          <t>2025-10-06</t>
        </is>
      </c>
      <c r="C224" s="30" t="inlineStr">
        <is>
          <t>Anjali Sharma</t>
        </is>
      </c>
      <c r="D224" s="29" t="inlineStr">
        <is>
          <t>Central</t>
        </is>
      </c>
      <c r="E224" s="30" t="inlineStr">
        <is>
          <t>Gwalior</t>
        </is>
      </c>
      <c r="F224" s="30" t="inlineStr">
        <is>
          <t>Insulated Stainless Steel Sipper Bottle</t>
        </is>
      </c>
      <c r="G224" s="29" t="inlineStr">
        <is>
          <t>Sports</t>
        </is>
      </c>
      <c r="H224" s="31" t="n">
        <v>3</v>
      </c>
      <c r="I224" s="16" t="n">
        <v>799</v>
      </c>
      <c r="J224" s="32" t="n">
        <v>0.05</v>
      </c>
      <c r="K224" s="16">
        <f>H224*I224</f>
        <v/>
      </c>
      <c r="L224" s="16">
        <f>K224*J224</f>
        <v/>
      </c>
      <c r="M224" s="16">
        <f>K224-L224</f>
        <v/>
      </c>
      <c r="N224" s="16" t="n">
        <v>1170</v>
      </c>
      <c r="O224" s="16">
        <f>M224-N224</f>
        <v/>
      </c>
      <c r="P224" s="17">
        <f>IFERROR(O224/M224, 0)</f>
        <v/>
      </c>
      <c r="Q224" s="29" t="inlineStr">
        <is>
          <t>Delivered</t>
        </is>
      </c>
    </row>
    <row r="225">
      <c r="A225" s="33" t="n">
        <v>117</v>
      </c>
      <c r="B225" s="33" t="inlineStr">
        <is>
          <t>2025-05-12</t>
        </is>
      </c>
      <c r="C225" s="34" t="inlineStr">
        <is>
          <t>Meera Patel</t>
        </is>
      </c>
      <c r="D225" s="33" t="inlineStr">
        <is>
          <t>North</t>
        </is>
      </c>
      <c r="E225" s="34" t="inlineStr">
        <is>
          <t>Gurgaon</t>
        </is>
      </c>
      <c r="F225" s="34" t="inlineStr">
        <is>
          <t>Smart Fitness Watch Pro</t>
        </is>
      </c>
      <c r="G225" s="33" t="inlineStr">
        <is>
          <t>Electronics</t>
        </is>
      </c>
      <c r="H225" s="35" t="n">
        <v>2</v>
      </c>
      <c r="I225" s="20" t="n">
        <v>4999</v>
      </c>
      <c r="J225" s="36" t="n">
        <v>0.15</v>
      </c>
      <c r="K225" s="20">
        <f>H225*I225</f>
        <v/>
      </c>
      <c r="L225" s="20">
        <f>K225*J225</f>
        <v/>
      </c>
      <c r="M225" s="20">
        <f>K225-L225</f>
        <v/>
      </c>
      <c r="N225" s="20" t="n">
        <v>6400</v>
      </c>
      <c r="O225" s="20">
        <f>M225-N225</f>
        <v/>
      </c>
      <c r="P225" s="21">
        <f>IFERROR(O225/M225, 0)</f>
        <v/>
      </c>
      <c r="Q225" s="33" t="inlineStr">
        <is>
          <t>Processing</t>
        </is>
      </c>
    </row>
    <row r="226">
      <c r="A226" s="29" t="n">
        <v>117</v>
      </c>
      <c r="B226" s="29" t="inlineStr">
        <is>
          <t>2025-05-12</t>
        </is>
      </c>
      <c r="C226" s="30" t="inlineStr">
        <is>
          <t>Meera Patel</t>
        </is>
      </c>
      <c r="D226" s="29" t="inlineStr">
        <is>
          <t>North</t>
        </is>
      </c>
      <c r="E226" s="30" t="inlineStr">
        <is>
          <t>Gurgaon</t>
        </is>
      </c>
      <c r="F226" s="30" t="inlineStr">
        <is>
          <t>Adjustable Dumbbell Set 20kg</t>
        </is>
      </c>
      <c r="G226" s="29" t="inlineStr">
        <is>
          <t>Sports</t>
        </is>
      </c>
      <c r="H226" s="31" t="n">
        <v>5</v>
      </c>
      <c r="I226" s="16" t="n">
        <v>4299</v>
      </c>
      <c r="J226" s="32" t="n">
        <v>0.12</v>
      </c>
      <c r="K226" s="16">
        <f>H226*I226</f>
        <v/>
      </c>
      <c r="L226" s="16">
        <f>K226*J226</f>
        <v/>
      </c>
      <c r="M226" s="16">
        <f>K226-L226</f>
        <v/>
      </c>
      <c r="N226" s="16" t="n">
        <v>13000</v>
      </c>
      <c r="O226" s="16">
        <f>M226-N226</f>
        <v/>
      </c>
      <c r="P226" s="17">
        <f>IFERROR(O226/M226, 0)</f>
        <v/>
      </c>
      <c r="Q226" s="29" t="inlineStr">
        <is>
          <t>Processing</t>
        </is>
      </c>
    </row>
    <row r="227">
      <c r="A227" s="33" t="n">
        <v>118</v>
      </c>
      <c r="B227" s="33" t="inlineStr">
        <is>
          <t>2025-09-27</t>
        </is>
      </c>
      <c r="C227" s="34" t="inlineStr">
        <is>
          <t>Aditya Verma</t>
        </is>
      </c>
      <c r="D227" s="33" t="inlineStr">
        <is>
          <t>South</t>
        </is>
      </c>
      <c r="E227" s="34" t="inlineStr">
        <is>
          <t>Bengaluru</t>
        </is>
      </c>
      <c r="F227" s="34" t="inlineStr">
        <is>
          <t>Orthopedic Memory Foam Pillow</t>
        </is>
      </c>
      <c r="G227" s="33" t="inlineStr">
        <is>
          <t>Home &amp; Living</t>
        </is>
      </c>
      <c r="H227" s="35" t="n">
        <v>1</v>
      </c>
      <c r="I227" s="20" t="n">
        <v>1799</v>
      </c>
      <c r="J227" s="36" t="n">
        <v>0.05</v>
      </c>
      <c r="K227" s="20">
        <f>H227*I227</f>
        <v/>
      </c>
      <c r="L227" s="20">
        <f>K227*J227</f>
        <v/>
      </c>
      <c r="M227" s="20">
        <f>K227-L227</f>
        <v/>
      </c>
      <c r="N227" s="20" t="n">
        <v>950</v>
      </c>
      <c r="O227" s="20">
        <f>M227-N227</f>
        <v/>
      </c>
      <c r="P227" s="21">
        <f>IFERROR(O227/M227, 0)</f>
        <v/>
      </c>
      <c r="Q227" s="33" t="inlineStr">
        <is>
          <t>Processing</t>
        </is>
      </c>
    </row>
    <row r="228">
      <c r="A228" s="29" t="n">
        <v>119</v>
      </c>
      <c r="B228" s="29" t="inlineStr">
        <is>
          <t>2025-02-18</t>
        </is>
      </c>
      <c r="C228" s="30" t="inlineStr">
        <is>
          <t>Vidya Verma</t>
        </is>
      </c>
      <c r="D228" s="29" t="inlineStr">
        <is>
          <t>East</t>
        </is>
      </c>
      <c r="E228" s="30" t="inlineStr">
        <is>
          <t>Ranchi</t>
        </is>
      </c>
      <c r="F228" s="30" t="inlineStr">
        <is>
          <t>Multipurpose Desk Organizer Set</t>
        </is>
      </c>
      <c r="G228" s="29" t="inlineStr">
        <is>
          <t>Home &amp; Living</t>
        </is>
      </c>
      <c r="H228" s="31" t="n">
        <v>5</v>
      </c>
      <c r="I228" s="16" t="n">
        <v>699</v>
      </c>
      <c r="J228" s="32" t="n">
        <v>0</v>
      </c>
      <c r="K228" s="16">
        <f>H228*I228</f>
        <v/>
      </c>
      <c r="L228" s="16">
        <f>K228*J228</f>
        <v/>
      </c>
      <c r="M228" s="16">
        <f>K228-L228</f>
        <v/>
      </c>
      <c r="N228" s="16" t="n">
        <v>1450</v>
      </c>
      <c r="O228" s="16">
        <f>M228-N228</f>
        <v/>
      </c>
      <c r="P228" s="17">
        <f>IFERROR(O228/M228, 0)</f>
        <v/>
      </c>
      <c r="Q228" s="29" t="inlineStr">
        <is>
          <t>Delivered</t>
        </is>
      </c>
    </row>
    <row r="229">
      <c r="A229" s="33" t="n">
        <v>119</v>
      </c>
      <c r="B229" s="33" t="inlineStr">
        <is>
          <t>2025-02-18</t>
        </is>
      </c>
      <c r="C229" s="34" t="inlineStr">
        <is>
          <t>Vidya Verma</t>
        </is>
      </c>
      <c r="D229" s="33" t="inlineStr">
        <is>
          <t>East</t>
        </is>
      </c>
      <c r="E229" s="34" t="inlineStr">
        <is>
          <t>Ranchi</t>
        </is>
      </c>
      <c r="F229" s="34" t="inlineStr">
        <is>
          <t>Men Slim-Fit Cotton Casual Shirt</t>
        </is>
      </c>
      <c r="G229" s="33" t="inlineStr">
        <is>
          <t>Fashion</t>
        </is>
      </c>
      <c r="H229" s="35" t="n">
        <v>1</v>
      </c>
      <c r="I229" s="20" t="n">
        <v>1499</v>
      </c>
      <c r="J229" s="36" t="n">
        <v>0.2</v>
      </c>
      <c r="K229" s="20">
        <f>H229*I229</f>
        <v/>
      </c>
      <c r="L229" s="20">
        <f>K229*J229</f>
        <v/>
      </c>
      <c r="M229" s="20">
        <f>K229-L229</f>
        <v/>
      </c>
      <c r="N229" s="20" t="n">
        <v>650</v>
      </c>
      <c r="O229" s="20">
        <f>M229-N229</f>
        <v/>
      </c>
      <c r="P229" s="21">
        <f>IFERROR(O229/M229, 0)</f>
        <v/>
      </c>
      <c r="Q229" s="33" t="inlineStr">
        <is>
          <t>Delivered</t>
        </is>
      </c>
    </row>
    <row r="230">
      <c r="A230" s="29" t="n">
        <v>119</v>
      </c>
      <c r="B230" s="29" t="inlineStr">
        <is>
          <t>2025-02-18</t>
        </is>
      </c>
      <c r="C230" s="30" t="inlineStr">
        <is>
          <t>Vidya Verma</t>
        </is>
      </c>
      <c r="D230" s="29" t="inlineStr">
        <is>
          <t>East</t>
        </is>
      </c>
      <c r="E230" s="30" t="inlineStr">
        <is>
          <t>Ranchi</t>
        </is>
      </c>
      <c r="F230" s="30" t="inlineStr">
        <is>
          <t>Women Floral Embroidered Kurti</t>
        </is>
      </c>
      <c r="G230" s="29" t="inlineStr">
        <is>
          <t>Fashion</t>
        </is>
      </c>
      <c r="H230" s="31" t="n">
        <v>2</v>
      </c>
      <c r="I230" s="16" t="n">
        <v>1899</v>
      </c>
      <c r="J230" s="32" t="n">
        <v>0.12</v>
      </c>
      <c r="K230" s="16">
        <f>H230*I230</f>
        <v/>
      </c>
      <c r="L230" s="16">
        <f>K230*J230</f>
        <v/>
      </c>
      <c r="M230" s="16">
        <f>K230-L230</f>
        <v/>
      </c>
      <c r="N230" s="16" t="n">
        <v>1600</v>
      </c>
      <c r="O230" s="16">
        <f>M230-N230</f>
        <v/>
      </c>
      <c r="P230" s="17">
        <f>IFERROR(O230/M230, 0)</f>
        <v/>
      </c>
      <c r="Q230" s="29" t="inlineStr">
        <is>
          <t>Delivered</t>
        </is>
      </c>
    </row>
    <row r="231">
      <c r="A231" s="33" t="n">
        <v>120</v>
      </c>
      <c r="B231" s="33" t="inlineStr">
        <is>
          <t>2025-07-28</t>
        </is>
      </c>
      <c r="C231" s="34" t="inlineStr">
        <is>
          <t>Deepika Nair</t>
        </is>
      </c>
      <c r="D231" s="33" t="inlineStr">
        <is>
          <t>West</t>
        </is>
      </c>
      <c r="E231" s="34" t="inlineStr">
        <is>
          <t>Nagpur</t>
        </is>
      </c>
      <c r="F231" s="34" t="inlineStr">
        <is>
          <t>Pure Raw Honey 500g</t>
        </is>
      </c>
      <c r="G231" s="33" t="inlineStr">
        <is>
          <t>Groceries</t>
        </is>
      </c>
      <c r="H231" s="35" t="n">
        <v>1</v>
      </c>
      <c r="I231" s="20" t="n">
        <v>399</v>
      </c>
      <c r="J231" s="36" t="n">
        <v>0</v>
      </c>
      <c r="K231" s="20">
        <f>H231*I231</f>
        <v/>
      </c>
      <c r="L231" s="20">
        <f>K231*J231</f>
        <v/>
      </c>
      <c r="M231" s="20">
        <f>K231-L231</f>
        <v/>
      </c>
      <c r="N231" s="20" t="n">
        <v>210</v>
      </c>
      <c r="O231" s="20">
        <f>M231-N231</f>
        <v/>
      </c>
      <c r="P231" s="21">
        <f>IFERROR(O231/M231, 0)</f>
        <v/>
      </c>
      <c r="Q231" s="33" t="inlineStr">
        <is>
          <t>Delivered</t>
        </is>
      </c>
    </row>
    <row r="232">
      <c r="A232" s="29" t="n">
        <v>120</v>
      </c>
      <c r="B232" s="29" t="inlineStr">
        <is>
          <t>2025-07-28</t>
        </is>
      </c>
      <c r="C232" s="30" t="inlineStr">
        <is>
          <t>Deepika Nair</t>
        </is>
      </c>
      <c r="D232" s="29" t="inlineStr">
        <is>
          <t>West</t>
        </is>
      </c>
      <c r="E232" s="30" t="inlineStr">
        <is>
          <t>Nagpur</t>
        </is>
      </c>
      <c r="F232" s="30" t="inlineStr">
        <is>
          <t>Smart Fitness Watch Pro</t>
        </is>
      </c>
      <c r="G232" s="29" t="inlineStr">
        <is>
          <t>Electronics</t>
        </is>
      </c>
      <c r="H232" s="31" t="n">
        <v>1</v>
      </c>
      <c r="I232" s="16" t="n">
        <v>4999</v>
      </c>
      <c r="J232" s="32" t="n">
        <v>0.2</v>
      </c>
      <c r="K232" s="16">
        <f>H232*I232</f>
        <v/>
      </c>
      <c r="L232" s="16">
        <f>K232*J232</f>
        <v/>
      </c>
      <c r="M232" s="16">
        <f>K232-L232</f>
        <v/>
      </c>
      <c r="N232" s="16" t="n">
        <v>3200</v>
      </c>
      <c r="O232" s="16">
        <f>M232-N232</f>
        <v/>
      </c>
      <c r="P232" s="17">
        <f>IFERROR(O232/M232, 0)</f>
        <v/>
      </c>
      <c r="Q232" s="29" t="inlineStr">
        <is>
          <t>Delivered</t>
        </is>
      </c>
    </row>
    <row r="233">
      <c r="A233" s="33" t="n">
        <v>121</v>
      </c>
      <c r="B233" s="33" t="inlineStr">
        <is>
          <t>2025-09-16</t>
        </is>
      </c>
      <c r="C233" s="34" t="inlineStr">
        <is>
          <t>Gaurav Malhotra</t>
        </is>
      </c>
      <c r="D233" s="33" t="inlineStr">
        <is>
          <t>South</t>
        </is>
      </c>
      <c r="E233" s="34" t="inlineStr">
        <is>
          <t>Hyderabad</t>
        </is>
      </c>
      <c r="F233" s="34" t="inlineStr">
        <is>
          <t>Skipping Rope with Digital Counter</t>
        </is>
      </c>
      <c r="G233" s="33" t="inlineStr">
        <is>
          <t>Sports</t>
        </is>
      </c>
      <c r="H233" s="35" t="n">
        <v>1</v>
      </c>
      <c r="I233" s="20" t="n">
        <v>499</v>
      </c>
      <c r="J233" s="36" t="n">
        <v>0.15</v>
      </c>
      <c r="K233" s="20">
        <f>H233*I233</f>
        <v/>
      </c>
      <c r="L233" s="20">
        <f>K233*J233</f>
        <v/>
      </c>
      <c r="M233" s="20">
        <f>K233-L233</f>
        <v/>
      </c>
      <c r="N233" s="20" t="n">
        <v>210</v>
      </c>
      <c r="O233" s="20">
        <f>M233-N233</f>
        <v/>
      </c>
      <c r="P233" s="21">
        <f>IFERROR(O233/M233, 0)</f>
        <v/>
      </c>
      <c r="Q233" s="33" t="inlineStr">
        <is>
          <t>Cancelled</t>
        </is>
      </c>
    </row>
    <row r="234">
      <c r="A234" s="29" t="n">
        <v>121</v>
      </c>
      <c r="B234" s="29" t="inlineStr">
        <is>
          <t>2025-09-16</t>
        </is>
      </c>
      <c r="C234" s="30" t="inlineStr">
        <is>
          <t>Gaurav Malhotra</t>
        </is>
      </c>
      <c r="D234" s="29" t="inlineStr">
        <is>
          <t>South</t>
        </is>
      </c>
      <c r="E234" s="30" t="inlineStr">
        <is>
          <t>Hyderabad</t>
        </is>
      </c>
      <c r="F234" s="30" t="inlineStr">
        <is>
          <t>Automatic Air Fryer 4.5L</t>
        </is>
      </c>
      <c r="G234" s="29" t="inlineStr">
        <is>
          <t>Home &amp; Living</t>
        </is>
      </c>
      <c r="H234" s="31" t="n">
        <v>2</v>
      </c>
      <c r="I234" s="16" t="n">
        <v>5499</v>
      </c>
      <c r="J234" s="32" t="n">
        <v>0.1</v>
      </c>
      <c r="K234" s="16">
        <f>H234*I234</f>
        <v/>
      </c>
      <c r="L234" s="16">
        <f>K234*J234</f>
        <v/>
      </c>
      <c r="M234" s="16">
        <f>K234-L234</f>
        <v/>
      </c>
      <c r="N234" s="16" t="n">
        <v>7200</v>
      </c>
      <c r="O234" s="16">
        <f>M234-N234</f>
        <v/>
      </c>
      <c r="P234" s="17">
        <f>IFERROR(O234/M234, 0)</f>
        <v/>
      </c>
      <c r="Q234" s="29" t="inlineStr">
        <is>
          <t>Cancelled</t>
        </is>
      </c>
    </row>
    <row r="235">
      <c r="A235" s="33" t="n">
        <v>121</v>
      </c>
      <c r="B235" s="33" t="inlineStr">
        <is>
          <t>2025-09-16</t>
        </is>
      </c>
      <c r="C235" s="34" t="inlineStr">
        <is>
          <t>Gaurav Malhotra</t>
        </is>
      </c>
      <c r="D235" s="33" t="inlineStr">
        <is>
          <t>South</t>
        </is>
      </c>
      <c r="E235" s="34" t="inlineStr">
        <is>
          <t>Hyderabad</t>
        </is>
      </c>
      <c r="F235" s="34" t="inlineStr">
        <is>
          <t>Wireless Noise-Cancelling Headphones</t>
        </is>
      </c>
      <c r="G235" s="33" t="inlineStr">
        <is>
          <t>Electronics</t>
        </is>
      </c>
      <c r="H235" s="35" t="n">
        <v>2</v>
      </c>
      <c r="I235" s="20" t="n">
        <v>7499</v>
      </c>
      <c r="J235" s="36" t="n">
        <v>0.2</v>
      </c>
      <c r="K235" s="20">
        <f>H235*I235</f>
        <v/>
      </c>
      <c r="L235" s="20">
        <f>K235*J235</f>
        <v/>
      </c>
      <c r="M235" s="20">
        <f>K235-L235</f>
        <v/>
      </c>
      <c r="N235" s="20" t="n">
        <v>9600</v>
      </c>
      <c r="O235" s="20">
        <f>M235-N235</f>
        <v/>
      </c>
      <c r="P235" s="21">
        <f>IFERROR(O235/M235, 0)</f>
        <v/>
      </c>
      <c r="Q235" s="33" t="inlineStr">
        <is>
          <t>Cancelled</t>
        </is>
      </c>
    </row>
    <row r="236">
      <c r="A236" s="29" t="n">
        <v>122</v>
      </c>
      <c r="B236" s="29" t="inlineStr">
        <is>
          <t>2025-02-28</t>
        </is>
      </c>
      <c r="C236" s="30" t="inlineStr">
        <is>
          <t>Neha Verma</t>
        </is>
      </c>
      <c r="D236" s="29" t="inlineStr">
        <is>
          <t>Central</t>
        </is>
      </c>
      <c r="E236" s="30" t="inlineStr">
        <is>
          <t>Bhopal</t>
        </is>
      </c>
      <c r="F236" s="30" t="inlineStr">
        <is>
          <t>Multipurpose Desk Organizer Set</t>
        </is>
      </c>
      <c r="G236" s="29" t="inlineStr">
        <is>
          <t>Home &amp; Living</t>
        </is>
      </c>
      <c r="H236" s="31" t="n">
        <v>3</v>
      </c>
      <c r="I236" s="16" t="n">
        <v>699</v>
      </c>
      <c r="J236" s="32" t="n">
        <v>0</v>
      </c>
      <c r="K236" s="16">
        <f>H236*I236</f>
        <v/>
      </c>
      <c r="L236" s="16">
        <f>K236*J236</f>
        <v/>
      </c>
      <c r="M236" s="16">
        <f>K236-L236</f>
        <v/>
      </c>
      <c r="N236" s="16" t="n">
        <v>870</v>
      </c>
      <c r="O236" s="16">
        <f>M236-N236</f>
        <v/>
      </c>
      <c r="P236" s="17">
        <f>IFERROR(O236/M236, 0)</f>
        <v/>
      </c>
      <c r="Q236" s="29" t="inlineStr">
        <is>
          <t>Shipped</t>
        </is>
      </c>
    </row>
    <row r="237">
      <c r="A237" s="33" t="n">
        <v>123</v>
      </c>
      <c r="B237" s="33" t="inlineStr">
        <is>
          <t>2025-10-14</t>
        </is>
      </c>
      <c r="C237" s="34" t="inlineStr">
        <is>
          <t>Meera Bhat</t>
        </is>
      </c>
      <c r="D237" s="33" t="inlineStr">
        <is>
          <t>South</t>
        </is>
      </c>
      <c r="E237" s="34" t="inlineStr">
        <is>
          <t>Bengaluru</t>
        </is>
      </c>
      <c r="F237" s="34" t="inlineStr">
        <is>
          <t>Automatic Air Fryer 4.5L</t>
        </is>
      </c>
      <c r="G237" s="33" t="inlineStr">
        <is>
          <t>Home &amp; Living</t>
        </is>
      </c>
      <c r="H237" s="35" t="n">
        <v>1</v>
      </c>
      <c r="I237" s="20" t="n">
        <v>5499</v>
      </c>
      <c r="J237" s="36" t="n">
        <v>0</v>
      </c>
      <c r="K237" s="20">
        <f>H237*I237</f>
        <v/>
      </c>
      <c r="L237" s="20">
        <f>K237*J237</f>
        <v/>
      </c>
      <c r="M237" s="20">
        <f>K237-L237</f>
        <v/>
      </c>
      <c r="N237" s="20" t="n">
        <v>3600</v>
      </c>
      <c r="O237" s="20">
        <f>M237-N237</f>
        <v/>
      </c>
      <c r="P237" s="21">
        <f>IFERROR(O237/M237, 0)</f>
        <v/>
      </c>
      <c r="Q237" s="33" t="inlineStr">
        <is>
          <t>Shipped</t>
        </is>
      </c>
    </row>
    <row r="238">
      <c r="A238" s="29" t="n">
        <v>123</v>
      </c>
      <c r="B238" s="29" t="inlineStr">
        <is>
          <t>2025-10-14</t>
        </is>
      </c>
      <c r="C238" s="30" t="inlineStr">
        <is>
          <t>Meera Bhat</t>
        </is>
      </c>
      <c r="D238" s="29" t="inlineStr">
        <is>
          <t>South</t>
        </is>
      </c>
      <c r="E238" s="30" t="inlineStr">
        <is>
          <t>Bengaluru</t>
        </is>
      </c>
      <c r="F238" s="30" t="inlineStr">
        <is>
          <t>Lightweight Running Sports Shoes</t>
        </is>
      </c>
      <c r="G238" s="29" t="inlineStr">
        <is>
          <t>Fashion</t>
        </is>
      </c>
      <c r="H238" s="31" t="n">
        <v>2</v>
      </c>
      <c r="I238" s="16" t="n">
        <v>3199</v>
      </c>
      <c r="J238" s="32" t="n">
        <v>0.2</v>
      </c>
      <c r="K238" s="16">
        <f>H238*I238</f>
        <v/>
      </c>
      <c r="L238" s="16">
        <f>K238*J238</f>
        <v/>
      </c>
      <c r="M238" s="16">
        <f>K238-L238</f>
        <v/>
      </c>
      <c r="N238" s="16" t="n">
        <v>3000</v>
      </c>
      <c r="O238" s="16">
        <f>M238-N238</f>
        <v/>
      </c>
      <c r="P238" s="17">
        <f>IFERROR(O238/M238, 0)</f>
        <v/>
      </c>
      <c r="Q238" s="29" t="inlineStr">
        <is>
          <t>Shipped</t>
        </is>
      </c>
    </row>
    <row r="239">
      <c r="A239" s="33" t="n">
        <v>123</v>
      </c>
      <c r="B239" s="33" t="inlineStr">
        <is>
          <t>2025-10-14</t>
        </is>
      </c>
      <c r="C239" s="34" t="inlineStr">
        <is>
          <t>Meera Bhat</t>
        </is>
      </c>
      <c r="D239" s="33" t="inlineStr">
        <is>
          <t>South</t>
        </is>
      </c>
      <c r="E239" s="34" t="inlineStr">
        <is>
          <t>Bengaluru</t>
        </is>
      </c>
      <c r="F239" s="34" t="inlineStr">
        <is>
          <t>Stainless Steel Electric Kettle 1.8L</t>
        </is>
      </c>
      <c r="G239" s="33" t="inlineStr">
        <is>
          <t>Home &amp; Living</t>
        </is>
      </c>
      <c r="H239" s="35" t="n">
        <v>2</v>
      </c>
      <c r="I239" s="20" t="n">
        <v>1299</v>
      </c>
      <c r="J239" s="36" t="n">
        <v>0.2</v>
      </c>
      <c r="K239" s="20">
        <f>H239*I239</f>
        <v/>
      </c>
      <c r="L239" s="20">
        <f>K239*J239</f>
        <v/>
      </c>
      <c r="M239" s="20">
        <f>K239-L239</f>
        <v/>
      </c>
      <c r="N239" s="20" t="n">
        <v>1440</v>
      </c>
      <c r="O239" s="20">
        <f>M239-N239</f>
        <v/>
      </c>
      <c r="P239" s="21">
        <f>IFERROR(O239/M239, 0)</f>
        <v/>
      </c>
      <c r="Q239" s="33" t="inlineStr">
        <is>
          <t>Shipped</t>
        </is>
      </c>
    </row>
    <row r="240">
      <c r="A240" s="29" t="n">
        <v>123</v>
      </c>
      <c r="B240" s="29" t="inlineStr">
        <is>
          <t>2025-10-14</t>
        </is>
      </c>
      <c r="C240" s="30" t="inlineStr">
        <is>
          <t>Meera Bhat</t>
        </is>
      </c>
      <c r="D240" s="29" t="inlineStr">
        <is>
          <t>South</t>
        </is>
      </c>
      <c r="E240" s="30" t="inlineStr">
        <is>
          <t>Bengaluru</t>
        </is>
      </c>
      <c r="F240" s="30" t="inlineStr">
        <is>
          <t>Organic Green Tea 100 Bags</t>
        </is>
      </c>
      <c r="G240" s="29" t="inlineStr">
        <is>
          <t>Groceries</t>
        </is>
      </c>
      <c r="H240" s="31" t="n">
        <v>1</v>
      </c>
      <c r="I240" s="16" t="n">
        <v>450</v>
      </c>
      <c r="J240" s="32" t="n">
        <v>0.15</v>
      </c>
      <c r="K240" s="16">
        <f>H240*I240</f>
        <v/>
      </c>
      <c r="L240" s="16">
        <f>K240*J240</f>
        <v/>
      </c>
      <c r="M240" s="16">
        <f>K240-L240</f>
        <v/>
      </c>
      <c r="N240" s="16" t="n">
        <v>260</v>
      </c>
      <c r="O240" s="16">
        <f>M240-N240</f>
        <v/>
      </c>
      <c r="P240" s="17">
        <f>IFERROR(O240/M240, 0)</f>
        <v/>
      </c>
      <c r="Q240" s="29" t="inlineStr">
        <is>
          <t>Shipped</t>
        </is>
      </c>
    </row>
    <row r="241">
      <c r="A241" s="33" t="n">
        <v>124</v>
      </c>
      <c r="B241" s="33" t="inlineStr">
        <is>
          <t>2025-05-10</t>
        </is>
      </c>
      <c r="C241" s="34" t="inlineStr">
        <is>
          <t>Kunal Banerjee</t>
        </is>
      </c>
      <c r="D241" s="33" t="inlineStr">
        <is>
          <t>South</t>
        </is>
      </c>
      <c r="E241" s="34" t="inlineStr">
        <is>
          <t>Hyderabad</t>
        </is>
      </c>
      <c r="F241" s="34" t="inlineStr">
        <is>
          <t>Insulated Stainless Steel Sipper Bottle</t>
        </is>
      </c>
      <c r="G241" s="33" t="inlineStr">
        <is>
          <t>Sports</t>
        </is>
      </c>
      <c r="H241" s="35" t="n">
        <v>1</v>
      </c>
      <c r="I241" s="20" t="n">
        <v>799</v>
      </c>
      <c r="J241" s="36" t="n">
        <v>0.2</v>
      </c>
      <c r="K241" s="20">
        <f>H241*I241</f>
        <v/>
      </c>
      <c r="L241" s="20">
        <f>K241*J241</f>
        <v/>
      </c>
      <c r="M241" s="20">
        <f>K241-L241</f>
        <v/>
      </c>
      <c r="N241" s="20" t="n">
        <v>390</v>
      </c>
      <c r="O241" s="20">
        <f>M241-N241</f>
        <v/>
      </c>
      <c r="P241" s="21">
        <f>IFERROR(O241/M241, 0)</f>
        <v/>
      </c>
      <c r="Q241" s="33" t="inlineStr">
        <is>
          <t>Shipped</t>
        </is>
      </c>
    </row>
    <row r="242">
      <c r="A242" s="29" t="n">
        <v>124</v>
      </c>
      <c r="B242" s="29" t="inlineStr">
        <is>
          <t>2025-05-10</t>
        </is>
      </c>
      <c r="C242" s="30" t="inlineStr">
        <is>
          <t>Kunal Banerjee</t>
        </is>
      </c>
      <c r="D242" s="29" t="inlineStr">
        <is>
          <t>South</t>
        </is>
      </c>
      <c r="E242" s="30" t="inlineStr">
        <is>
          <t>Hyderabad</t>
        </is>
      </c>
      <c r="F242" s="30" t="inlineStr">
        <is>
          <t>Organic Green Tea 100 Bags</t>
        </is>
      </c>
      <c r="G242" s="29" t="inlineStr">
        <is>
          <t>Groceries</t>
        </is>
      </c>
      <c r="H242" s="31" t="n">
        <v>1</v>
      </c>
      <c r="I242" s="16" t="n">
        <v>450</v>
      </c>
      <c r="J242" s="32" t="n">
        <v>0.1</v>
      </c>
      <c r="K242" s="16">
        <f>H242*I242</f>
        <v/>
      </c>
      <c r="L242" s="16">
        <f>K242*J242</f>
        <v/>
      </c>
      <c r="M242" s="16">
        <f>K242-L242</f>
        <v/>
      </c>
      <c r="N242" s="16" t="n">
        <v>260</v>
      </c>
      <c r="O242" s="16">
        <f>M242-N242</f>
        <v/>
      </c>
      <c r="P242" s="17">
        <f>IFERROR(O242/M242, 0)</f>
        <v/>
      </c>
      <c r="Q242" s="29" t="inlineStr">
        <is>
          <t>Shipped</t>
        </is>
      </c>
    </row>
    <row r="243">
      <c r="A243" s="33" t="n">
        <v>124</v>
      </c>
      <c r="B243" s="33" t="inlineStr">
        <is>
          <t>2025-05-10</t>
        </is>
      </c>
      <c r="C243" s="34" t="inlineStr">
        <is>
          <t>Kunal Banerjee</t>
        </is>
      </c>
      <c r="D243" s="33" t="inlineStr">
        <is>
          <t>South</t>
        </is>
      </c>
      <c r="E243" s="34" t="inlineStr">
        <is>
          <t>Hyderabad</t>
        </is>
      </c>
      <c r="F243" s="34" t="inlineStr">
        <is>
          <t>Ergonomic Wireless Mouse</t>
        </is>
      </c>
      <c r="G243" s="33" t="inlineStr">
        <is>
          <t>Electronics</t>
        </is>
      </c>
      <c r="H243" s="35" t="n">
        <v>3</v>
      </c>
      <c r="I243" s="20" t="n">
        <v>1299</v>
      </c>
      <c r="J243" s="36" t="n">
        <v>0</v>
      </c>
      <c r="K243" s="20">
        <f>H243*I243</f>
        <v/>
      </c>
      <c r="L243" s="20">
        <f>K243*J243</f>
        <v/>
      </c>
      <c r="M243" s="20">
        <f>K243-L243</f>
        <v/>
      </c>
      <c r="N243" s="20" t="n">
        <v>2250</v>
      </c>
      <c r="O243" s="20">
        <f>M243-N243</f>
        <v/>
      </c>
      <c r="P243" s="21">
        <f>IFERROR(O243/M243, 0)</f>
        <v/>
      </c>
      <c r="Q243" s="33" t="inlineStr">
        <is>
          <t>Shipped</t>
        </is>
      </c>
    </row>
    <row r="244">
      <c r="A244" s="29" t="n">
        <v>125</v>
      </c>
      <c r="B244" s="29" t="inlineStr">
        <is>
          <t>2024-12-17</t>
        </is>
      </c>
      <c r="C244" s="30" t="inlineStr">
        <is>
          <t>Ananya Patel</t>
        </is>
      </c>
      <c r="D244" s="29" t="inlineStr">
        <is>
          <t>Central</t>
        </is>
      </c>
      <c r="E244" s="30" t="inlineStr">
        <is>
          <t>Jabalpur</t>
        </is>
      </c>
      <c r="F244" s="30" t="inlineStr">
        <is>
          <t>Orthopedic Memory Foam Pillow</t>
        </is>
      </c>
      <c r="G244" s="29" t="inlineStr">
        <is>
          <t>Home &amp; Living</t>
        </is>
      </c>
      <c r="H244" s="31" t="n">
        <v>1</v>
      </c>
      <c r="I244" s="16" t="n">
        <v>1799</v>
      </c>
      <c r="J244" s="32" t="n">
        <v>0.12</v>
      </c>
      <c r="K244" s="16">
        <f>H244*I244</f>
        <v/>
      </c>
      <c r="L244" s="16">
        <f>K244*J244</f>
        <v/>
      </c>
      <c r="M244" s="16">
        <f>K244-L244</f>
        <v/>
      </c>
      <c r="N244" s="16" t="n">
        <v>950</v>
      </c>
      <c r="O244" s="16">
        <f>M244-N244</f>
        <v/>
      </c>
      <c r="P244" s="17">
        <f>IFERROR(O244/M244, 0)</f>
        <v/>
      </c>
      <c r="Q244" s="29" t="inlineStr">
        <is>
          <t>Delivered</t>
        </is>
      </c>
    </row>
    <row r="245">
      <c r="A245" s="33" t="n">
        <v>125</v>
      </c>
      <c r="B245" s="33" t="inlineStr">
        <is>
          <t>2024-12-17</t>
        </is>
      </c>
      <c r="C245" s="34" t="inlineStr">
        <is>
          <t>Ananya Patel</t>
        </is>
      </c>
      <c r="D245" s="33" t="inlineStr">
        <is>
          <t>Central</t>
        </is>
      </c>
      <c r="E245" s="34" t="inlineStr">
        <is>
          <t>Jabalpur</t>
        </is>
      </c>
      <c r="F245" s="34" t="inlineStr">
        <is>
          <t>Ultra HD Smart LED TV 55-inch</t>
        </is>
      </c>
      <c r="G245" s="33" t="inlineStr">
        <is>
          <t>Electronics</t>
        </is>
      </c>
      <c r="H245" s="35" t="n">
        <v>1</v>
      </c>
      <c r="I245" s="20" t="n">
        <v>42999</v>
      </c>
      <c r="J245" s="36" t="n">
        <v>0.1</v>
      </c>
      <c r="K245" s="20">
        <f>H245*I245</f>
        <v/>
      </c>
      <c r="L245" s="20">
        <f>K245*J245</f>
        <v/>
      </c>
      <c r="M245" s="20">
        <f>K245-L245</f>
        <v/>
      </c>
      <c r="N245" s="20" t="n">
        <v>31000</v>
      </c>
      <c r="O245" s="20">
        <f>M245-N245</f>
        <v/>
      </c>
      <c r="P245" s="21">
        <f>IFERROR(O245/M245, 0)</f>
        <v/>
      </c>
      <c r="Q245" s="33" t="inlineStr">
        <is>
          <t>Delivered</t>
        </is>
      </c>
    </row>
    <row r="246">
      <c r="A246" s="29" t="n">
        <v>125</v>
      </c>
      <c r="B246" s="29" t="inlineStr">
        <is>
          <t>2024-12-17</t>
        </is>
      </c>
      <c r="C246" s="30" t="inlineStr">
        <is>
          <t>Ananya Patel</t>
        </is>
      </c>
      <c r="D246" s="29" t="inlineStr">
        <is>
          <t>Central</t>
        </is>
      </c>
      <c r="E246" s="30" t="inlineStr">
        <is>
          <t>Jabalpur</t>
        </is>
      </c>
      <c r="F246" s="30" t="inlineStr">
        <is>
          <t>Double Bed Pure Cotton Bedsheet</t>
        </is>
      </c>
      <c r="G246" s="29" t="inlineStr">
        <is>
          <t>Home &amp; Living</t>
        </is>
      </c>
      <c r="H246" s="31" t="n">
        <v>5</v>
      </c>
      <c r="I246" s="16" t="n">
        <v>1599</v>
      </c>
      <c r="J246" s="32" t="n">
        <v>0.05</v>
      </c>
      <c r="K246" s="16">
        <f>H246*I246</f>
        <v/>
      </c>
      <c r="L246" s="16">
        <f>K246*J246</f>
        <v/>
      </c>
      <c r="M246" s="16">
        <f>K246-L246</f>
        <v/>
      </c>
      <c r="N246" s="16" t="n">
        <v>3900</v>
      </c>
      <c r="O246" s="16">
        <f>M246-N246</f>
        <v/>
      </c>
      <c r="P246" s="17">
        <f>IFERROR(O246/M246, 0)</f>
        <v/>
      </c>
      <c r="Q246" s="29" t="inlineStr">
        <is>
          <t>Delivered</t>
        </is>
      </c>
    </row>
    <row r="247">
      <c r="A247" s="33" t="n">
        <v>126</v>
      </c>
      <c r="B247" s="33" t="inlineStr">
        <is>
          <t>2024-11-15</t>
        </is>
      </c>
      <c r="C247" s="34" t="inlineStr">
        <is>
          <t>Rhea Kulkarni</t>
        </is>
      </c>
      <c r="D247" s="33" t="inlineStr">
        <is>
          <t>South</t>
        </is>
      </c>
      <c r="E247" s="34" t="inlineStr">
        <is>
          <t>Chennai</t>
        </is>
      </c>
      <c r="F247" s="34" t="inlineStr">
        <is>
          <t>Insulated Stainless Steel Sipper Bottle</t>
        </is>
      </c>
      <c r="G247" s="33" t="inlineStr">
        <is>
          <t>Sports</t>
        </is>
      </c>
      <c r="H247" s="35" t="n">
        <v>2</v>
      </c>
      <c r="I247" s="20" t="n">
        <v>799</v>
      </c>
      <c r="J247" s="36" t="n">
        <v>0</v>
      </c>
      <c r="K247" s="20">
        <f>H247*I247</f>
        <v/>
      </c>
      <c r="L247" s="20">
        <f>K247*J247</f>
        <v/>
      </c>
      <c r="M247" s="20">
        <f>K247-L247</f>
        <v/>
      </c>
      <c r="N247" s="20" t="n">
        <v>780</v>
      </c>
      <c r="O247" s="20">
        <f>M247-N247</f>
        <v/>
      </c>
      <c r="P247" s="21">
        <f>IFERROR(O247/M247, 0)</f>
        <v/>
      </c>
      <c r="Q247" s="33" t="inlineStr">
        <is>
          <t>Delivered</t>
        </is>
      </c>
    </row>
    <row r="248">
      <c r="A248" s="29" t="n">
        <v>126</v>
      </c>
      <c r="B248" s="29" t="inlineStr">
        <is>
          <t>2024-11-15</t>
        </is>
      </c>
      <c r="C248" s="30" t="inlineStr">
        <is>
          <t>Rhea Kulkarni</t>
        </is>
      </c>
      <c r="D248" s="29" t="inlineStr">
        <is>
          <t>South</t>
        </is>
      </c>
      <c r="E248" s="30" t="inlineStr">
        <is>
          <t>Chennai</t>
        </is>
      </c>
      <c r="F248" s="30" t="inlineStr">
        <is>
          <t>Anti-Skid Yoga Mat 6mm</t>
        </is>
      </c>
      <c r="G248" s="29" t="inlineStr">
        <is>
          <t>Sports</t>
        </is>
      </c>
      <c r="H248" s="31" t="n">
        <v>1</v>
      </c>
      <c r="I248" s="16" t="n">
        <v>999</v>
      </c>
      <c r="J248" s="32" t="n">
        <v>0.2</v>
      </c>
      <c r="K248" s="16">
        <f>H248*I248</f>
        <v/>
      </c>
      <c r="L248" s="16">
        <f>K248*J248</f>
        <v/>
      </c>
      <c r="M248" s="16">
        <f>K248-L248</f>
        <v/>
      </c>
      <c r="N248" s="16" t="n">
        <v>480</v>
      </c>
      <c r="O248" s="16">
        <f>M248-N248</f>
        <v/>
      </c>
      <c r="P248" s="17">
        <f>IFERROR(O248/M248, 0)</f>
        <v/>
      </c>
      <c r="Q248" s="29" t="inlineStr">
        <is>
          <t>Delivered</t>
        </is>
      </c>
    </row>
    <row r="249">
      <c r="A249" s="33" t="n">
        <v>126</v>
      </c>
      <c r="B249" s="33" t="inlineStr">
        <is>
          <t>2024-11-15</t>
        </is>
      </c>
      <c r="C249" s="34" t="inlineStr">
        <is>
          <t>Rhea Kulkarni</t>
        </is>
      </c>
      <c r="D249" s="33" t="inlineStr">
        <is>
          <t>South</t>
        </is>
      </c>
      <c r="E249" s="34" t="inlineStr">
        <is>
          <t>Chennai</t>
        </is>
      </c>
      <c r="F249" s="34" t="inlineStr">
        <is>
          <t>Genuine Leather Bifold Wallet</t>
        </is>
      </c>
      <c r="G249" s="33" t="inlineStr">
        <is>
          <t>Fashion</t>
        </is>
      </c>
      <c r="H249" s="35" t="n">
        <v>1</v>
      </c>
      <c r="I249" s="20" t="n">
        <v>899</v>
      </c>
      <c r="J249" s="36" t="n">
        <v>0.2</v>
      </c>
      <c r="K249" s="20">
        <f>H249*I249</f>
        <v/>
      </c>
      <c r="L249" s="20">
        <f>K249*J249</f>
        <v/>
      </c>
      <c r="M249" s="20">
        <f>K249-L249</f>
        <v/>
      </c>
      <c r="N249" s="20" t="n">
        <v>380</v>
      </c>
      <c r="O249" s="20">
        <f>M249-N249</f>
        <v/>
      </c>
      <c r="P249" s="21">
        <f>IFERROR(O249/M249, 0)</f>
        <v/>
      </c>
      <c r="Q249" s="33" t="inlineStr">
        <is>
          <t>Delivered</t>
        </is>
      </c>
    </row>
    <row r="250">
      <c r="A250" s="29" t="n">
        <v>127</v>
      </c>
      <c r="B250" s="29" t="inlineStr">
        <is>
          <t>2025-06-29</t>
        </is>
      </c>
      <c r="C250" s="30" t="inlineStr">
        <is>
          <t>Vikram Nair</t>
        </is>
      </c>
      <c r="D250" s="29" t="inlineStr">
        <is>
          <t>Central</t>
        </is>
      </c>
      <c r="E250" s="30" t="inlineStr">
        <is>
          <t>Raipur</t>
        </is>
      </c>
      <c r="F250" s="30" t="inlineStr">
        <is>
          <t>Mechanical Gaming Keyboard</t>
        </is>
      </c>
      <c r="G250" s="29" t="inlineStr">
        <is>
          <t>Electronics</t>
        </is>
      </c>
      <c r="H250" s="31" t="n">
        <v>1</v>
      </c>
      <c r="I250" s="16" t="n">
        <v>3299</v>
      </c>
      <c r="J250" s="32" t="n">
        <v>0.2</v>
      </c>
      <c r="K250" s="16">
        <f>H250*I250</f>
        <v/>
      </c>
      <c r="L250" s="16">
        <f>K250*J250</f>
        <v/>
      </c>
      <c r="M250" s="16">
        <f>K250-L250</f>
        <v/>
      </c>
      <c r="N250" s="16" t="n">
        <v>2100</v>
      </c>
      <c r="O250" s="16">
        <f>M250-N250</f>
        <v/>
      </c>
      <c r="P250" s="17">
        <f>IFERROR(O250/M250, 0)</f>
        <v/>
      </c>
      <c r="Q250" s="29" t="inlineStr">
        <is>
          <t>Delivered</t>
        </is>
      </c>
    </row>
    <row r="251">
      <c r="A251" s="33" t="n">
        <v>127</v>
      </c>
      <c r="B251" s="33" t="inlineStr">
        <is>
          <t>2025-06-29</t>
        </is>
      </c>
      <c r="C251" s="34" t="inlineStr">
        <is>
          <t>Vikram Nair</t>
        </is>
      </c>
      <c r="D251" s="33" t="inlineStr">
        <is>
          <t>Central</t>
        </is>
      </c>
      <c r="E251" s="34" t="inlineStr">
        <is>
          <t>Raipur</t>
        </is>
      </c>
      <c r="F251" s="34" t="inlineStr">
        <is>
          <t>Ultra HD Smart LED TV 55-inch</t>
        </is>
      </c>
      <c r="G251" s="33" t="inlineStr">
        <is>
          <t>Electronics</t>
        </is>
      </c>
      <c r="H251" s="35" t="n">
        <v>1</v>
      </c>
      <c r="I251" s="20" t="n">
        <v>42999</v>
      </c>
      <c r="J251" s="36" t="n">
        <v>0.15</v>
      </c>
      <c r="K251" s="20">
        <f>H251*I251</f>
        <v/>
      </c>
      <c r="L251" s="20">
        <f>K251*J251</f>
        <v/>
      </c>
      <c r="M251" s="20">
        <f>K251-L251</f>
        <v/>
      </c>
      <c r="N251" s="20" t="n">
        <v>31000</v>
      </c>
      <c r="O251" s="20">
        <f>M251-N251</f>
        <v/>
      </c>
      <c r="P251" s="21">
        <f>IFERROR(O251/M251, 0)</f>
        <v/>
      </c>
      <c r="Q251" s="33" t="inlineStr">
        <is>
          <t>Delivered</t>
        </is>
      </c>
    </row>
    <row r="252">
      <c r="A252" s="29" t="n">
        <v>128</v>
      </c>
      <c r="B252" s="29" t="inlineStr">
        <is>
          <t>2025-07-29</t>
        </is>
      </c>
      <c r="C252" s="30" t="inlineStr">
        <is>
          <t>Sunil Saxena</t>
        </is>
      </c>
      <c r="D252" s="29" t="inlineStr">
        <is>
          <t>East</t>
        </is>
      </c>
      <c r="E252" s="30" t="inlineStr">
        <is>
          <t>Guwahati</t>
        </is>
      </c>
      <c r="F252" s="30" t="inlineStr">
        <is>
          <t>Lightweight Running Sports Shoes</t>
        </is>
      </c>
      <c r="G252" s="29" t="inlineStr">
        <is>
          <t>Fashion</t>
        </is>
      </c>
      <c r="H252" s="31" t="n">
        <v>1</v>
      </c>
      <c r="I252" s="16" t="n">
        <v>3199</v>
      </c>
      <c r="J252" s="32" t="n">
        <v>0</v>
      </c>
      <c r="K252" s="16">
        <f>H252*I252</f>
        <v/>
      </c>
      <c r="L252" s="16">
        <f>K252*J252</f>
        <v/>
      </c>
      <c r="M252" s="16">
        <f>K252-L252</f>
        <v/>
      </c>
      <c r="N252" s="16" t="n">
        <v>1500</v>
      </c>
      <c r="O252" s="16">
        <f>M252-N252</f>
        <v/>
      </c>
      <c r="P252" s="17">
        <f>IFERROR(O252/M252, 0)</f>
        <v/>
      </c>
      <c r="Q252" s="29" t="inlineStr">
        <is>
          <t>Delivered</t>
        </is>
      </c>
    </row>
    <row r="253">
      <c r="A253" s="33" t="n">
        <v>129</v>
      </c>
      <c r="B253" s="33" t="inlineStr">
        <is>
          <t>2025-03-03</t>
        </is>
      </c>
      <c r="C253" s="34" t="inlineStr">
        <is>
          <t>Kavita Nair</t>
        </is>
      </c>
      <c r="D253" s="33" t="inlineStr">
        <is>
          <t>West</t>
        </is>
      </c>
      <c r="E253" s="34" t="inlineStr">
        <is>
          <t>Mumbai</t>
        </is>
      </c>
      <c r="F253" s="34" t="inlineStr">
        <is>
          <t>Pure Raw Honey 500g</t>
        </is>
      </c>
      <c r="G253" s="33" t="inlineStr">
        <is>
          <t>Groceries</t>
        </is>
      </c>
      <c r="H253" s="35" t="n">
        <v>1</v>
      </c>
      <c r="I253" s="20" t="n">
        <v>399</v>
      </c>
      <c r="J253" s="36" t="n">
        <v>0.2</v>
      </c>
      <c r="K253" s="20">
        <f>H253*I253</f>
        <v/>
      </c>
      <c r="L253" s="20">
        <f>K253*J253</f>
        <v/>
      </c>
      <c r="M253" s="20">
        <f>K253-L253</f>
        <v/>
      </c>
      <c r="N253" s="20" t="n">
        <v>210</v>
      </c>
      <c r="O253" s="20">
        <f>M253-N253</f>
        <v/>
      </c>
      <c r="P253" s="21">
        <f>IFERROR(O253/M253, 0)</f>
        <v/>
      </c>
      <c r="Q253" s="33" t="inlineStr">
        <is>
          <t>Delivered</t>
        </is>
      </c>
    </row>
    <row r="254">
      <c r="A254" s="29" t="n">
        <v>129</v>
      </c>
      <c r="B254" s="29" t="inlineStr">
        <is>
          <t>2025-03-03</t>
        </is>
      </c>
      <c r="C254" s="30" t="inlineStr">
        <is>
          <t>Kavita Nair</t>
        </is>
      </c>
      <c r="D254" s="29" t="inlineStr">
        <is>
          <t>West</t>
        </is>
      </c>
      <c r="E254" s="30" t="inlineStr">
        <is>
          <t>Mumbai</t>
        </is>
      </c>
      <c r="F254" s="30" t="inlineStr">
        <is>
          <t>Automatic Air Fryer 4.5L</t>
        </is>
      </c>
      <c r="G254" s="29" t="inlineStr">
        <is>
          <t>Home &amp; Living</t>
        </is>
      </c>
      <c r="H254" s="31" t="n">
        <v>3</v>
      </c>
      <c r="I254" s="16" t="n">
        <v>5499</v>
      </c>
      <c r="J254" s="32" t="n">
        <v>0.12</v>
      </c>
      <c r="K254" s="16">
        <f>H254*I254</f>
        <v/>
      </c>
      <c r="L254" s="16">
        <f>K254*J254</f>
        <v/>
      </c>
      <c r="M254" s="16">
        <f>K254-L254</f>
        <v/>
      </c>
      <c r="N254" s="16" t="n">
        <v>10800</v>
      </c>
      <c r="O254" s="16">
        <f>M254-N254</f>
        <v/>
      </c>
      <c r="P254" s="17">
        <f>IFERROR(O254/M254, 0)</f>
        <v/>
      </c>
      <c r="Q254" s="29" t="inlineStr">
        <is>
          <t>Delivered</t>
        </is>
      </c>
    </row>
    <row r="255">
      <c r="A255" s="33" t="n">
        <v>130</v>
      </c>
      <c r="B255" s="33" t="inlineStr">
        <is>
          <t>2024-11-09</t>
        </is>
      </c>
      <c r="C255" s="34" t="inlineStr">
        <is>
          <t>Harsh Singh</t>
        </is>
      </c>
      <c r="D255" s="33" t="inlineStr">
        <is>
          <t>West</t>
        </is>
      </c>
      <c r="E255" s="34" t="inlineStr">
        <is>
          <t>Ahmedabad</t>
        </is>
      </c>
      <c r="F255" s="34" t="inlineStr">
        <is>
          <t>Women Floral Embroidered Kurti</t>
        </is>
      </c>
      <c r="G255" s="33" t="inlineStr">
        <is>
          <t>Fashion</t>
        </is>
      </c>
      <c r="H255" s="35" t="n">
        <v>1</v>
      </c>
      <c r="I255" s="20" t="n">
        <v>1899</v>
      </c>
      <c r="J255" s="36" t="n">
        <v>0.1</v>
      </c>
      <c r="K255" s="20">
        <f>H255*I255</f>
        <v/>
      </c>
      <c r="L255" s="20">
        <f>K255*J255</f>
        <v/>
      </c>
      <c r="M255" s="20">
        <f>K255-L255</f>
        <v/>
      </c>
      <c r="N255" s="20" t="n">
        <v>800</v>
      </c>
      <c r="O255" s="20">
        <f>M255-N255</f>
        <v/>
      </c>
      <c r="P255" s="21">
        <f>IFERROR(O255/M255, 0)</f>
        <v/>
      </c>
      <c r="Q255" s="33" t="inlineStr">
        <is>
          <t>Processing</t>
        </is>
      </c>
    </row>
    <row r="256">
      <c r="A256" s="29" t="n">
        <v>130</v>
      </c>
      <c r="B256" s="29" t="inlineStr">
        <is>
          <t>2024-11-09</t>
        </is>
      </c>
      <c r="C256" s="30" t="inlineStr">
        <is>
          <t>Harsh Singh</t>
        </is>
      </c>
      <c r="D256" s="29" t="inlineStr">
        <is>
          <t>West</t>
        </is>
      </c>
      <c r="E256" s="30" t="inlineStr">
        <is>
          <t>Ahmedabad</t>
        </is>
      </c>
      <c r="F256" s="30" t="inlineStr">
        <is>
          <t>Insulated Stainless Steel Sipper Bottle</t>
        </is>
      </c>
      <c r="G256" s="29" t="inlineStr">
        <is>
          <t>Sports</t>
        </is>
      </c>
      <c r="H256" s="31" t="n">
        <v>1</v>
      </c>
      <c r="I256" s="16" t="n">
        <v>799</v>
      </c>
      <c r="J256" s="32" t="n">
        <v>0.05</v>
      </c>
      <c r="K256" s="16">
        <f>H256*I256</f>
        <v/>
      </c>
      <c r="L256" s="16">
        <f>K256*J256</f>
        <v/>
      </c>
      <c r="M256" s="16">
        <f>K256-L256</f>
        <v/>
      </c>
      <c r="N256" s="16" t="n">
        <v>390</v>
      </c>
      <c r="O256" s="16">
        <f>M256-N256</f>
        <v/>
      </c>
      <c r="P256" s="17">
        <f>IFERROR(O256/M256, 0)</f>
        <v/>
      </c>
      <c r="Q256" s="29" t="inlineStr">
        <is>
          <t>Processing</t>
        </is>
      </c>
    </row>
    <row r="257">
      <c r="A257" s="33" t="n">
        <v>131</v>
      </c>
      <c r="B257" s="33" t="inlineStr">
        <is>
          <t>2025-08-20</t>
        </is>
      </c>
      <c r="C257" s="34" t="inlineStr">
        <is>
          <t>Ishaan Sharma</t>
        </is>
      </c>
      <c r="D257" s="33" t="inlineStr">
        <is>
          <t>North</t>
        </is>
      </c>
      <c r="E257" s="34" t="inlineStr">
        <is>
          <t>Gurgaon</t>
        </is>
      </c>
      <c r="F257" s="34" t="inlineStr">
        <is>
          <t>Adjustable Dumbbell Set 20kg</t>
        </is>
      </c>
      <c r="G257" s="33" t="inlineStr">
        <is>
          <t>Sports</t>
        </is>
      </c>
      <c r="H257" s="35" t="n">
        <v>1</v>
      </c>
      <c r="I257" s="20" t="n">
        <v>4299</v>
      </c>
      <c r="J257" s="36" t="n">
        <v>0.05</v>
      </c>
      <c r="K257" s="20">
        <f>H257*I257</f>
        <v/>
      </c>
      <c r="L257" s="20">
        <f>K257*J257</f>
        <v/>
      </c>
      <c r="M257" s="20">
        <f>K257-L257</f>
        <v/>
      </c>
      <c r="N257" s="20" t="n">
        <v>2600</v>
      </c>
      <c r="O257" s="20">
        <f>M257-N257</f>
        <v/>
      </c>
      <c r="P257" s="21">
        <f>IFERROR(O257/M257, 0)</f>
        <v/>
      </c>
      <c r="Q257" s="33" t="inlineStr">
        <is>
          <t>Delivered</t>
        </is>
      </c>
    </row>
    <row r="258">
      <c r="A258" s="29" t="n">
        <v>132</v>
      </c>
      <c r="B258" s="29" t="inlineStr">
        <is>
          <t>2025-07-28</t>
        </is>
      </c>
      <c r="C258" s="30" t="inlineStr">
        <is>
          <t>Rohit Bhat</t>
        </is>
      </c>
      <c r="D258" s="29" t="inlineStr">
        <is>
          <t>Central</t>
        </is>
      </c>
      <c r="E258" s="30" t="inlineStr">
        <is>
          <t>Bhopal</t>
        </is>
      </c>
      <c r="F258" s="30" t="inlineStr">
        <is>
          <t>Organic Green Tea 100 Bags</t>
        </is>
      </c>
      <c r="G258" s="29" t="inlineStr">
        <is>
          <t>Groceries</t>
        </is>
      </c>
      <c r="H258" s="31" t="n">
        <v>1</v>
      </c>
      <c r="I258" s="16" t="n">
        <v>450</v>
      </c>
      <c r="J258" s="32" t="n">
        <v>0.2</v>
      </c>
      <c r="K258" s="16">
        <f>H258*I258</f>
        <v/>
      </c>
      <c r="L258" s="16">
        <f>K258*J258</f>
        <v/>
      </c>
      <c r="M258" s="16">
        <f>K258-L258</f>
        <v/>
      </c>
      <c r="N258" s="16" t="n">
        <v>260</v>
      </c>
      <c r="O258" s="16">
        <f>M258-N258</f>
        <v/>
      </c>
      <c r="P258" s="17">
        <f>IFERROR(O258/M258, 0)</f>
        <v/>
      </c>
      <c r="Q258" s="29" t="inlineStr">
        <is>
          <t>Shipped</t>
        </is>
      </c>
    </row>
    <row r="259">
      <c r="A259" s="33" t="n">
        <v>132</v>
      </c>
      <c r="B259" s="33" t="inlineStr">
        <is>
          <t>2025-07-28</t>
        </is>
      </c>
      <c r="C259" s="34" t="inlineStr">
        <is>
          <t>Rohit Bhat</t>
        </is>
      </c>
      <c r="D259" s="33" t="inlineStr">
        <is>
          <t>Central</t>
        </is>
      </c>
      <c r="E259" s="34" t="inlineStr">
        <is>
          <t>Bhopal</t>
        </is>
      </c>
      <c r="F259" s="34" t="inlineStr">
        <is>
          <t>Cold-Pressed Extra Virgin Olive Oil 1L</t>
        </is>
      </c>
      <c r="G259" s="33" t="inlineStr">
        <is>
          <t>Groceries</t>
        </is>
      </c>
      <c r="H259" s="35" t="n">
        <v>1</v>
      </c>
      <c r="I259" s="20" t="n">
        <v>1199</v>
      </c>
      <c r="J259" s="36" t="n">
        <v>0.15</v>
      </c>
      <c r="K259" s="20">
        <f>H259*I259</f>
        <v/>
      </c>
      <c r="L259" s="20">
        <f>K259*J259</f>
        <v/>
      </c>
      <c r="M259" s="20">
        <f>K259-L259</f>
        <v/>
      </c>
      <c r="N259" s="20" t="n">
        <v>780</v>
      </c>
      <c r="O259" s="20">
        <f>M259-N259</f>
        <v/>
      </c>
      <c r="P259" s="21">
        <f>IFERROR(O259/M259, 0)</f>
        <v/>
      </c>
      <c r="Q259" s="33" t="inlineStr">
        <is>
          <t>Shipped</t>
        </is>
      </c>
    </row>
    <row r="260">
      <c r="A260" s="29" t="n">
        <v>133</v>
      </c>
      <c r="B260" s="29" t="inlineStr">
        <is>
          <t>2025-05-11</t>
        </is>
      </c>
      <c r="C260" s="30" t="inlineStr">
        <is>
          <t>Aarav Verma</t>
        </is>
      </c>
      <c r="D260" s="29" t="inlineStr">
        <is>
          <t>South</t>
        </is>
      </c>
      <c r="E260" s="30" t="inlineStr">
        <is>
          <t>Chennai</t>
        </is>
      </c>
      <c r="F260" s="30" t="inlineStr">
        <is>
          <t>Orthopedic Memory Foam Pillow</t>
        </is>
      </c>
      <c r="G260" s="29" t="inlineStr">
        <is>
          <t>Home &amp; Living</t>
        </is>
      </c>
      <c r="H260" s="31" t="n">
        <v>1</v>
      </c>
      <c r="I260" s="16" t="n">
        <v>1799</v>
      </c>
      <c r="J260" s="32" t="n">
        <v>0.15</v>
      </c>
      <c r="K260" s="16">
        <f>H260*I260</f>
        <v/>
      </c>
      <c r="L260" s="16">
        <f>K260*J260</f>
        <v/>
      </c>
      <c r="M260" s="16">
        <f>K260-L260</f>
        <v/>
      </c>
      <c r="N260" s="16" t="n">
        <v>950</v>
      </c>
      <c r="O260" s="16">
        <f>M260-N260</f>
        <v/>
      </c>
      <c r="P260" s="17">
        <f>IFERROR(O260/M260, 0)</f>
        <v/>
      </c>
      <c r="Q260" s="29" t="inlineStr">
        <is>
          <t>Delivered</t>
        </is>
      </c>
    </row>
    <row r="261">
      <c r="A261" s="33" t="n">
        <v>133</v>
      </c>
      <c r="B261" s="33" t="inlineStr">
        <is>
          <t>2025-05-11</t>
        </is>
      </c>
      <c r="C261" s="34" t="inlineStr">
        <is>
          <t>Aarav Verma</t>
        </is>
      </c>
      <c r="D261" s="33" t="inlineStr">
        <is>
          <t>South</t>
        </is>
      </c>
      <c r="E261" s="34" t="inlineStr">
        <is>
          <t>Chennai</t>
        </is>
      </c>
      <c r="F261" s="34" t="inlineStr">
        <is>
          <t>Mechanical Gaming Keyboard</t>
        </is>
      </c>
      <c r="G261" s="33" t="inlineStr">
        <is>
          <t>Electronics</t>
        </is>
      </c>
      <c r="H261" s="35" t="n">
        <v>2</v>
      </c>
      <c r="I261" s="20" t="n">
        <v>3299</v>
      </c>
      <c r="J261" s="36" t="n">
        <v>0</v>
      </c>
      <c r="K261" s="20">
        <f>H261*I261</f>
        <v/>
      </c>
      <c r="L261" s="20">
        <f>K261*J261</f>
        <v/>
      </c>
      <c r="M261" s="20">
        <f>K261-L261</f>
        <v/>
      </c>
      <c r="N261" s="20" t="n">
        <v>4200</v>
      </c>
      <c r="O261" s="20">
        <f>M261-N261</f>
        <v/>
      </c>
      <c r="P261" s="21">
        <f>IFERROR(O261/M261, 0)</f>
        <v/>
      </c>
      <c r="Q261" s="33" t="inlineStr">
        <is>
          <t>Delivered</t>
        </is>
      </c>
    </row>
    <row r="262">
      <c r="A262" s="29" t="n">
        <v>134</v>
      </c>
      <c r="B262" s="29" t="inlineStr">
        <is>
          <t>2025-04-20</t>
        </is>
      </c>
      <c r="C262" s="30" t="inlineStr">
        <is>
          <t>Nandini Patel</t>
        </is>
      </c>
      <c r="D262" s="29" t="inlineStr">
        <is>
          <t>West</t>
        </is>
      </c>
      <c r="E262" s="30" t="inlineStr">
        <is>
          <t>Nagpur</t>
        </is>
      </c>
      <c r="F262" s="30" t="inlineStr">
        <is>
          <t>Cold-Pressed Extra Virgin Olive Oil 1L</t>
        </is>
      </c>
      <c r="G262" s="29" t="inlineStr">
        <is>
          <t>Groceries</t>
        </is>
      </c>
      <c r="H262" s="31" t="n">
        <v>1</v>
      </c>
      <c r="I262" s="16" t="n">
        <v>1199</v>
      </c>
      <c r="J262" s="32" t="n">
        <v>0.15</v>
      </c>
      <c r="K262" s="16">
        <f>H262*I262</f>
        <v/>
      </c>
      <c r="L262" s="16">
        <f>K262*J262</f>
        <v/>
      </c>
      <c r="M262" s="16">
        <f>K262-L262</f>
        <v/>
      </c>
      <c r="N262" s="16" t="n">
        <v>780</v>
      </c>
      <c r="O262" s="16">
        <f>M262-N262</f>
        <v/>
      </c>
      <c r="P262" s="17">
        <f>IFERROR(O262/M262, 0)</f>
        <v/>
      </c>
      <c r="Q262" s="29" t="inlineStr">
        <is>
          <t>Delivered</t>
        </is>
      </c>
    </row>
    <row r="263">
      <c r="A263" s="33" t="n">
        <v>135</v>
      </c>
      <c r="B263" s="33" t="inlineStr">
        <is>
          <t>2025-10-17</t>
        </is>
      </c>
      <c r="C263" s="34" t="inlineStr">
        <is>
          <t>Ananya Iyer</t>
        </is>
      </c>
      <c r="D263" s="33" t="inlineStr">
        <is>
          <t>South</t>
        </is>
      </c>
      <c r="E263" s="34" t="inlineStr">
        <is>
          <t>Chennai</t>
        </is>
      </c>
      <c r="F263" s="34" t="inlineStr">
        <is>
          <t>Multipurpose Desk Organizer Set</t>
        </is>
      </c>
      <c r="G263" s="33" t="inlineStr">
        <is>
          <t>Home &amp; Living</t>
        </is>
      </c>
      <c r="H263" s="35" t="n">
        <v>1</v>
      </c>
      <c r="I263" s="20" t="n">
        <v>699</v>
      </c>
      <c r="J263" s="36" t="n">
        <v>0.2</v>
      </c>
      <c r="K263" s="20">
        <f>H263*I263</f>
        <v/>
      </c>
      <c r="L263" s="20">
        <f>K263*J263</f>
        <v/>
      </c>
      <c r="M263" s="20">
        <f>K263-L263</f>
        <v/>
      </c>
      <c r="N263" s="20" t="n">
        <v>290</v>
      </c>
      <c r="O263" s="20">
        <f>M263-N263</f>
        <v/>
      </c>
      <c r="P263" s="21">
        <f>IFERROR(O263/M263, 0)</f>
        <v/>
      </c>
      <c r="Q263" s="33" t="inlineStr">
        <is>
          <t>Delivered</t>
        </is>
      </c>
    </row>
    <row r="264">
      <c r="A264" s="29" t="n">
        <v>135</v>
      </c>
      <c r="B264" s="29" t="inlineStr">
        <is>
          <t>2025-10-17</t>
        </is>
      </c>
      <c r="C264" s="30" t="inlineStr">
        <is>
          <t>Ananya Iyer</t>
        </is>
      </c>
      <c r="D264" s="29" t="inlineStr">
        <is>
          <t>South</t>
        </is>
      </c>
      <c r="E264" s="30" t="inlineStr">
        <is>
          <t>Chennai</t>
        </is>
      </c>
      <c r="F264" s="30" t="inlineStr">
        <is>
          <t>Anti-Skid Yoga Mat 6mm</t>
        </is>
      </c>
      <c r="G264" s="29" t="inlineStr">
        <is>
          <t>Sports</t>
        </is>
      </c>
      <c r="H264" s="31" t="n">
        <v>3</v>
      </c>
      <c r="I264" s="16" t="n">
        <v>999</v>
      </c>
      <c r="J264" s="32" t="n">
        <v>0</v>
      </c>
      <c r="K264" s="16">
        <f>H264*I264</f>
        <v/>
      </c>
      <c r="L264" s="16">
        <f>K264*J264</f>
        <v/>
      </c>
      <c r="M264" s="16">
        <f>K264-L264</f>
        <v/>
      </c>
      <c r="N264" s="16" t="n">
        <v>1440</v>
      </c>
      <c r="O264" s="16">
        <f>M264-N264</f>
        <v/>
      </c>
      <c r="P264" s="17">
        <f>IFERROR(O264/M264, 0)</f>
        <v/>
      </c>
      <c r="Q264" s="29" t="inlineStr">
        <is>
          <t>Delivered</t>
        </is>
      </c>
    </row>
    <row r="265">
      <c r="A265" s="33" t="n">
        <v>135</v>
      </c>
      <c r="B265" s="33" t="inlineStr">
        <is>
          <t>2025-10-17</t>
        </is>
      </c>
      <c r="C265" s="34" t="inlineStr">
        <is>
          <t>Ananya Iyer</t>
        </is>
      </c>
      <c r="D265" s="33" t="inlineStr">
        <is>
          <t>South</t>
        </is>
      </c>
      <c r="E265" s="34" t="inlineStr">
        <is>
          <t>Chennai</t>
        </is>
      </c>
      <c r="F265" s="34" t="inlineStr">
        <is>
          <t>Fast Charging Power Bank 20000mAh</t>
        </is>
      </c>
      <c r="G265" s="33" t="inlineStr">
        <is>
          <t>Electronics</t>
        </is>
      </c>
      <c r="H265" s="35" t="n">
        <v>1</v>
      </c>
      <c r="I265" s="20" t="n">
        <v>1899</v>
      </c>
      <c r="J265" s="36" t="n">
        <v>0</v>
      </c>
      <c r="K265" s="20">
        <f>H265*I265</f>
        <v/>
      </c>
      <c r="L265" s="20">
        <f>K265*J265</f>
        <v/>
      </c>
      <c r="M265" s="20">
        <f>K265-L265</f>
        <v/>
      </c>
      <c r="N265" s="20" t="n">
        <v>1150</v>
      </c>
      <c r="O265" s="20">
        <f>M265-N265</f>
        <v/>
      </c>
      <c r="P265" s="21">
        <f>IFERROR(O265/M265, 0)</f>
        <v/>
      </c>
      <c r="Q265" s="33" t="inlineStr">
        <is>
          <t>Delivered</t>
        </is>
      </c>
    </row>
    <row r="266">
      <c r="A266" s="29" t="n">
        <v>135</v>
      </c>
      <c r="B266" s="29" t="inlineStr">
        <is>
          <t>2025-10-17</t>
        </is>
      </c>
      <c r="C266" s="30" t="inlineStr">
        <is>
          <t>Ananya Iyer</t>
        </is>
      </c>
      <c r="D266" s="29" t="inlineStr">
        <is>
          <t>South</t>
        </is>
      </c>
      <c r="E266" s="30" t="inlineStr">
        <is>
          <t>Chennai</t>
        </is>
      </c>
      <c r="F266" s="30" t="inlineStr">
        <is>
          <t>Smart Fitness Watch Pro</t>
        </is>
      </c>
      <c r="G266" s="29" t="inlineStr">
        <is>
          <t>Electronics</t>
        </is>
      </c>
      <c r="H266" s="31" t="n">
        <v>2</v>
      </c>
      <c r="I266" s="16" t="n">
        <v>4999</v>
      </c>
      <c r="J266" s="32" t="n">
        <v>0</v>
      </c>
      <c r="K266" s="16">
        <f>H266*I266</f>
        <v/>
      </c>
      <c r="L266" s="16">
        <f>K266*J266</f>
        <v/>
      </c>
      <c r="M266" s="16">
        <f>K266-L266</f>
        <v/>
      </c>
      <c r="N266" s="16" t="n">
        <v>6400</v>
      </c>
      <c r="O266" s="16">
        <f>M266-N266</f>
        <v/>
      </c>
      <c r="P266" s="17">
        <f>IFERROR(O266/M266, 0)</f>
        <v/>
      </c>
      <c r="Q266" s="29" t="inlineStr">
        <is>
          <t>Delivered</t>
        </is>
      </c>
    </row>
    <row r="267">
      <c r="A267" s="33" t="n">
        <v>136</v>
      </c>
      <c r="B267" s="33" t="inlineStr">
        <is>
          <t>2025-04-08</t>
        </is>
      </c>
      <c r="C267" s="34" t="inlineStr">
        <is>
          <t>Rhea Gupta</t>
        </is>
      </c>
      <c r="D267" s="33" t="inlineStr">
        <is>
          <t>West</t>
        </is>
      </c>
      <c r="E267" s="34" t="inlineStr">
        <is>
          <t>Surat</t>
        </is>
      </c>
      <c r="F267" s="34" t="inlineStr">
        <is>
          <t>Cold-Pressed Extra Virgin Olive Oil 1L</t>
        </is>
      </c>
      <c r="G267" s="33" t="inlineStr">
        <is>
          <t>Groceries</t>
        </is>
      </c>
      <c r="H267" s="35" t="n">
        <v>1</v>
      </c>
      <c r="I267" s="20" t="n">
        <v>1199</v>
      </c>
      <c r="J267" s="36" t="n">
        <v>0</v>
      </c>
      <c r="K267" s="20">
        <f>H267*I267</f>
        <v/>
      </c>
      <c r="L267" s="20">
        <f>K267*J267</f>
        <v/>
      </c>
      <c r="M267" s="20">
        <f>K267-L267</f>
        <v/>
      </c>
      <c r="N267" s="20" t="n">
        <v>780</v>
      </c>
      <c r="O267" s="20">
        <f>M267-N267</f>
        <v/>
      </c>
      <c r="P267" s="21">
        <f>IFERROR(O267/M267, 0)</f>
        <v/>
      </c>
      <c r="Q267" s="33" t="inlineStr">
        <is>
          <t>Shipped</t>
        </is>
      </c>
    </row>
    <row r="268">
      <c r="A268" s="29" t="n">
        <v>137</v>
      </c>
      <c r="B268" s="29" t="inlineStr">
        <is>
          <t>2025-02-06</t>
        </is>
      </c>
      <c r="C268" s="30" t="inlineStr">
        <is>
          <t>Manoj Gupta</t>
        </is>
      </c>
      <c r="D268" s="29" t="inlineStr">
        <is>
          <t>North</t>
        </is>
      </c>
      <c r="E268" s="30" t="inlineStr">
        <is>
          <t>Lucknow</t>
        </is>
      </c>
      <c r="F268" s="30" t="inlineStr">
        <is>
          <t>Wireless Noise-Cancelling Headphones</t>
        </is>
      </c>
      <c r="G268" s="29" t="inlineStr">
        <is>
          <t>Electronics</t>
        </is>
      </c>
      <c r="H268" s="31" t="n">
        <v>3</v>
      </c>
      <c r="I268" s="16" t="n">
        <v>7499</v>
      </c>
      <c r="J268" s="32" t="n">
        <v>0.05</v>
      </c>
      <c r="K268" s="16">
        <f>H268*I268</f>
        <v/>
      </c>
      <c r="L268" s="16">
        <f>K268*J268</f>
        <v/>
      </c>
      <c r="M268" s="16">
        <f>K268-L268</f>
        <v/>
      </c>
      <c r="N268" s="16" t="n">
        <v>14400</v>
      </c>
      <c r="O268" s="16">
        <f>M268-N268</f>
        <v/>
      </c>
      <c r="P268" s="17">
        <f>IFERROR(O268/M268, 0)</f>
        <v/>
      </c>
      <c r="Q268" s="29" t="inlineStr">
        <is>
          <t>Delivered</t>
        </is>
      </c>
    </row>
    <row r="269">
      <c r="A269" s="33" t="n">
        <v>138</v>
      </c>
      <c r="B269" s="33" t="inlineStr">
        <is>
          <t>2025-01-03</t>
        </is>
      </c>
      <c r="C269" s="34" t="inlineStr">
        <is>
          <t>Alok Kulkarni</t>
        </is>
      </c>
      <c r="D269" s="33" t="inlineStr">
        <is>
          <t>East</t>
        </is>
      </c>
      <c r="E269" s="34" t="inlineStr">
        <is>
          <t>Bhubaneswar</t>
        </is>
      </c>
      <c r="F269" s="34" t="inlineStr">
        <is>
          <t>Stainless Steel Electric Kettle 1.8L</t>
        </is>
      </c>
      <c r="G269" s="33" t="inlineStr">
        <is>
          <t>Home &amp; Living</t>
        </is>
      </c>
      <c r="H269" s="35" t="n">
        <v>2</v>
      </c>
      <c r="I269" s="20" t="n">
        <v>1299</v>
      </c>
      <c r="J269" s="36" t="n">
        <v>0.1</v>
      </c>
      <c r="K269" s="20">
        <f>H269*I269</f>
        <v/>
      </c>
      <c r="L269" s="20">
        <f>K269*J269</f>
        <v/>
      </c>
      <c r="M269" s="20">
        <f>K269-L269</f>
        <v/>
      </c>
      <c r="N269" s="20" t="n">
        <v>1440</v>
      </c>
      <c r="O269" s="20">
        <f>M269-N269</f>
        <v/>
      </c>
      <c r="P269" s="21">
        <f>IFERROR(O269/M269, 0)</f>
        <v/>
      </c>
      <c r="Q269" s="33" t="inlineStr">
        <is>
          <t>Cancelled</t>
        </is>
      </c>
    </row>
    <row r="270">
      <c r="A270" s="29" t="n">
        <v>139</v>
      </c>
      <c r="B270" s="29" t="inlineStr">
        <is>
          <t>2025-02-04</t>
        </is>
      </c>
      <c r="C270" s="30" t="inlineStr">
        <is>
          <t>Rajesh Joshi</t>
        </is>
      </c>
      <c r="D270" s="29" t="inlineStr">
        <is>
          <t>West</t>
        </is>
      </c>
      <c r="E270" s="30" t="inlineStr">
        <is>
          <t>Surat</t>
        </is>
      </c>
      <c r="F270" s="30" t="inlineStr">
        <is>
          <t>Orthopedic Memory Foam Pillow</t>
        </is>
      </c>
      <c r="G270" s="29" t="inlineStr">
        <is>
          <t>Home &amp; Living</t>
        </is>
      </c>
      <c r="H270" s="31" t="n">
        <v>1</v>
      </c>
      <c r="I270" s="16" t="n">
        <v>1799</v>
      </c>
      <c r="J270" s="32" t="n">
        <v>0</v>
      </c>
      <c r="K270" s="16">
        <f>H270*I270</f>
        <v/>
      </c>
      <c r="L270" s="16">
        <f>K270*J270</f>
        <v/>
      </c>
      <c r="M270" s="16">
        <f>K270-L270</f>
        <v/>
      </c>
      <c r="N270" s="16" t="n">
        <v>950</v>
      </c>
      <c r="O270" s="16">
        <f>M270-N270</f>
        <v/>
      </c>
      <c r="P270" s="17">
        <f>IFERROR(O270/M270, 0)</f>
        <v/>
      </c>
      <c r="Q270" s="29" t="inlineStr">
        <is>
          <t>Delivered</t>
        </is>
      </c>
    </row>
    <row r="271">
      <c r="A271" s="33" t="n">
        <v>139</v>
      </c>
      <c r="B271" s="33" t="inlineStr">
        <is>
          <t>2025-02-04</t>
        </is>
      </c>
      <c r="C271" s="34" t="inlineStr">
        <is>
          <t>Rajesh Joshi</t>
        </is>
      </c>
      <c r="D271" s="33" t="inlineStr">
        <is>
          <t>West</t>
        </is>
      </c>
      <c r="E271" s="34" t="inlineStr">
        <is>
          <t>Surat</t>
        </is>
      </c>
      <c r="F271" s="34" t="inlineStr">
        <is>
          <t>Organic Green Tea 100 Bags</t>
        </is>
      </c>
      <c r="G271" s="33" t="inlineStr">
        <is>
          <t>Groceries</t>
        </is>
      </c>
      <c r="H271" s="35" t="n">
        <v>2</v>
      </c>
      <c r="I271" s="20" t="n">
        <v>450</v>
      </c>
      <c r="J271" s="36" t="n">
        <v>0</v>
      </c>
      <c r="K271" s="20">
        <f>H271*I271</f>
        <v/>
      </c>
      <c r="L271" s="20">
        <f>K271*J271</f>
        <v/>
      </c>
      <c r="M271" s="20">
        <f>K271-L271</f>
        <v/>
      </c>
      <c r="N271" s="20" t="n">
        <v>520</v>
      </c>
      <c r="O271" s="20">
        <f>M271-N271</f>
        <v/>
      </c>
      <c r="P271" s="21">
        <f>IFERROR(O271/M271, 0)</f>
        <v/>
      </c>
      <c r="Q271" s="33" t="inlineStr">
        <is>
          <t>Delivered</t>
        </is>
      </c>
    </row>
    <row r="272">
      <c r="A272" s="29" t="n">
        <v>140</v>
      </c>
      <c r="B272" s="29" t="inlineStr">
        <is>
          <t>2025-09-05</t>
        </is>
      </c>
      <c r="C272" s="30" t="inlineStr">
        <is>
          <t>Ananya Patel</t>
        </is>
      </c>
      <c r="D272" s="29" t="inlineStr">
        <is>
          <t>Central</t>
        </is>
      </c>
      <c r="E272" s="30" t="inlineStr">
        <is>
          <t>Jabalpur</t>
        </is>
      </c>
      <c r="F272" s="30" t="inlineStr">
        <is>
          <t>Lightweight Running Sports Shoes</t>
        </is>
      </c>
      <c r="G272" s="29" t="inlineStr">
        <is>
          <t>Fashion</t>
        </is>
      </c>
      <c r="H272" s="31" t="n">
        <v>1</v>
      </c>
      <c r="I272" s="16" t="n">
        <v>3199</v>
      </c>
      <c r="J272" s="32" t="n">
        <v>0</v>
      </c>
      <c r="K272" s="16">
        <f>H272*I272</f>
        <v/>
      </c>
      <c r="L272" s="16">
        <f>K272*J272</f>
        <v/>
      </c>
      <c r="M272" s="16">
        <f>K272-L272</f>
        <v/>
      </c>
      <c r="N272" s="16" t="n">
        <v>1500</v>
      </c>
      <c r="O272" s="16">
        <f>M272-N272</f>
        <v/>
      </c>
      <c r="P272" s="17">
        <f>IFERROR(O272/M272, 0)</f>
        <v/>
      </c>
      <c r="Q272" s="29" t="inlineStr">
        <is>
          <t>Cancelled</t>
        </is>
      </c>
    </row>
    <row r="273">
      <c r="A273" s="33" t="n">
        <v>141</v>
      </c>
      <c r="B273" s="33" t="inlineStr">
        <is>
          <t>2025-10-05</t>
        </is>
      </c>
      <c r="C273" s="34" t="inlineStr">
        <is>
          <t>Nandini Singh</t>
        </is>
      </c>
      <c r="D273" s="33" t="inlineStr">
        <is>
          <t>Central</t>
        </is>
      </c>
      <c r="E273" s="34" t="inlineStr">
        <is>
          <t>Gwalior</t>
        </is>
      </c>
      <c r="F273" s="34" t="inlineStr">
        <is>
          <t>Pure Raw Honey 500g</t>
        </is>
      </c>
      <c r="G273" s="33" t="inlineStr">
        <is>
          <t>Groceries</t>
        </is>
      </c>
      <c r="H273" s="35" t="n">
        <v>2</v>
      </c>
      <c r="I273" s="20" t="n">
        <v>399</v>
      </c>
      <c r="J273" s="36" t="n">
        <v>0</v>
      </c>
      <c r="K273" s="20">
        <f>H273*I273</f>
        <v/>
      </c>
      <c r="L273" s="20">
        <f>K273*J273</f>
        <v/>
      </c>
      <c r="M273" s="20">
        <f>K273-L273</f>
        <v/>
      </c>
      <c r="N273" s="20" t="n">
        <v>420</v>
      </c>
      <c r="O273" s="20">
        <f>M273-N273</f>
        <v/>
      </c>
      <c r="P273" s="21">
        <f>IFERROR(O273/M273, 0)</f>
        <v/>
      </c>
      <c r="Q273" s="33" t="inlineStr">
        <is>
          <t>Delivered</t>
        </is>
      </c>
    </row>
    <row r="274">
      <c r="A274" s="29" t="n">
        <v>142</v>
      </c>
      <c r="B274" s="29" t="inlineStr">
        <is>
          <t>2025-06-16</t>
        </is>
      </c>
      <c r="C274" s="30" t="inlineStr">
        <is>
          <t>Gaurav Malhotra</t>
        </is>
      </c>
      <c r="D274" s="29" t="inlineStr">
        <is>
          <t>South</t>
        </is>
      </c>
      <c r="E274" s="30" t="inlineStr">
        <is>
          <t>Hyderabad</t>
        </is>
      </c>
      <c r="F274" s="30" t="inlineStr">
        <is>
          <t>Skipping Rope with Digital Counter</t>
        </is>
      </c>
      <c r="G274" s="29" t="inlineStr">
        <is>
          <t>Sports</t>
        </is>
      </c>
      <c r="H274" s="31" t="n">
        <v>3</v>
      </c>
      <c r="I274" s="16" t="n">
        <v>499</v>
      </c>
      <c r="J274" s="32" t="n">
        <v>0.05</v>
      </c>
      <c r="K274" s="16">
        <f>H274*I274</f>
        <v/>
      </c>
      <c r="L274" s="16">
        <f>K274*J274</f>
        <v/>
      </c>
      <c r="M274" s="16">
        <f>K274-L274</f>
        <v/>
      </c>
      <c r="N274" s="16" t="n">
        <v>630</v>
      </c>
      <c r="O274" s="16">
        <f>M274-N274</f>
        <v/>
      </c>
      <c r="P274" s="17">
        <f>IFERROR(O274/M274, 0)</f>
        <v/>
      </c>
      <c r="Q274" s="29" t="inlineStr">
        <is>
          <t>Delivered</t>
        </is>
      </c>
    </row>
    <row r="275">
      <c r="A275" s="33" t="n">
        <v>143</v>
      </c>
      <c r="B275" s="33" t="inlineStr">
        <is>
          <t>2025-06-11</t>
        </is>
      </c>
      <c r="C275" s="34" t="inlineStr">
        <is>
          <t>Shreya Rao</t>
        </is>
      </c>
      <c r="D275" s="33" t="inlineStr">
        <is>
          <t>South</t>
        </is>
      </c>
      <c r="E275" s="34" t="inlineStr">
        <is>
          <t>Kochi</t>
        </is>
      </c>
      <c r="F275" s="34" t="inlineStr">
        <is>
          <t>Wireless Noise-Cancelling Headphones</t>
        </is>
      </c>
      <c r="G275" s="33" t="inlineStr">
        <is>
          <t>Electronics</t>
        </is>
      </c>
      <c r="H275" s="35" t="n">
        <v>2</v>
      </c>
      <c r="I275" s="20" t="n">
        <v>7499</v>
      </c>
      <c r="J275" s="36" t="n">
        <v>0.1</v>
      </c>
      <c r="K275" s="20">
        <f>H275*I275</f>
        <v/>
      </c>
      <c r="L275" s="20">
        <f>K275*J275</f>
        <v/>
      </c>
      <c r="M275" s="20">
        <f>K275-L275</f>
        <v/>
      </c>
      <c r="N275" s="20" t="n">
        <v>9600</v>
      </c>
      <c r="O275" s="20">
        <f>M275-N275</f>
        <v/>
      </c>
      <c r="P275" s="21">
        <f>IFERROR(O275/M275, 0)</f>
        <v/>
      </c>
      <c r="Q275" s="33" t="inlineStr">
        <is>
          <t>Delivered</t>
        </is>
      </c>
    </row>
    <row r="276">
      <c r="A276" s="29" t="n">
        <v>143</v>
      </c>
      <c r="B276" s="29" t="inlineStr">
        <is>
          <t>2025-06-11</t>
        </is>
      </c>
      <c r="C276" s="30" t="inlineStr">
        <is>
          <t>Shreya Rao</t>
        </is>
      </c>
      <c r="D276" s="29" t="inlineStr">
        <is>
          <t>South</t>
        </is>
      </c>
      <c r="E276" s="30" t="inlineStr">
        <is>
          <t>Kochi</t>
        </is>
      </c>
      <c r="F276" s="30" t="inlineStr">
        <is>
          <t>Mechanical Gaming Keyboard</t>
        </is>
      </c>
      <c r="G276" s="29" t="inlineStr">
        <is>
          <t>Electronics</t>
        </is>
      </c>
      <c r="H276" s="31" t="n">
        <v>1</v>
      </c>
      <c r="I276" s="16" t="n">
        <v>3299</v>
      </c>
      <c r="J276" s="32" t="n">
        <v>0.2</v>
      </c>
      <c r="K276" s="16">
        <f>H276*I276</f>
        <v/>
      </c>
      <c r="L276" s="16">
        <f>K276*J276</f>
        <v/>
      </c>
      <c r="M276" s="16">
        <f>K276-L276</f>
        <v/>
      </c>
      <c r="N276" s="16" t="n">
        <v>2100</v>
      </c>
      <c r="O276" s="16">
        <f>M276-N276</f>
        <v/>
      </c>
      <c r="P276" s="17">
        <f>IFERROR(O276/M276, 0)</f>
        <v/>
      </c>
      <c r="Q276" s="29" t="inlineStr">
        <is>
          <t>Delivered</t>
        </is>
      </c>
    </row>
    <row r="277">
      <c r="A277" s="33" t="n">
        <v>144</v>
      </c>
      <c r="B277" s="33" t="inlineStr">
        <is>
          <t>2025-01-21</t>
        </is>
      </c>
      <c r="C277" s="34" t="inlineStr">
        <is>
          <t>Rohit Iyer</t>
        </is>
      </c>
      <c r="D277" s="33" t="inlineStr">
        <is>
          <t>Central</t>
        </is>
      </c>
      <c r="E277" s="34" t="inlineStr">
        <is>
          <t>Jabalpur</t>
        </is>
      </c>
      <c r="F277" s="34" t="inlineStr">
        <is>
          <t>Pure Raw Honey 500g</t>
        </is>
      </c>
      <c r="G277" s="33" t="inlineStr">
        <is>
          <t>Groceries</t>
        </is>
      </c>
      <c r="H277" s="35" t="n">
        <v>2</v>
      </c>
      <c r="I277" s="20" t="n">
        <v>399</v>
      </c>
      <c r="J277" s="36" t="n">
        <v>0.1</v>
      </c>
      <c r="K277" s="20">
        <f>H277*I277</f>
        <v/>
      </c>
      <c r="L277" s="20">
        <f>K277*J277</f>
        <v/>
      </c>
      <c r="M277" s="20">
        <f>K277-L277</f>
        <v/>
      </c>
      <c r="N277" s="20" t="n">
        <v>420</v>
      </c>
      <c r="O277" s="20">
        <f>M277-N277</f>
        <v/>
      </c>
      <c r="P277" s="21">
        <f>IFERROR(O277/M277, 0)</f>
        <v/>
      </c>
      <c r="Q277" s="33" t="inlineStr">
        <is>
          <t>Delivered</t>
        </is>
      </c>
    </row>
    <row r="278">
      <c r="A278" s="29" t="n">
        <v>145</v>
      </c>
      <c r="B278" s="29" t="inlineStr">
        <is>
          <t>2025-01-04</t>
        </is>
      </c>
      <c r="C278" s="30" t="inlineStr">
        <is>
          <t>Nandini Joshi</t>
        </is>
      </c>
      <c r="D278" s="29" t="inlineStr">
        <is>
          <t>South</t>
        </is>
      </c>
      <c r="E278" s="30" t="inlineStr">
        <is>
          <t>Kochi</t>
        </is>
      </c>
      <c r="F278" s="30" t="inlineStr">
        <is>
          <t>Anti-Skid Yoga Mat 6mm</t>
        </is>
      </c>
      <c r="G278" s="29" t="inlineStr">
        <is>
          <t>Sports</t>
        </is>
      </c>
      <c r="H278" s="31" t="n">
        <v>1</v>
      </c>
      <c r="I278" s="16" t="n">
        <v>999</v>
      </c>
      <c r="J278" s="32" t="n">
        <v>0.1</v>
      </c>
      <c r="K278" s="16">
        <f>H278*I278</f>
        <v/>
      </c>
      <c r="L278" s="16">
        <f>K278*J278</f>
        <v/>
      </c>
      <c r="M278" s="16">
        <f>K278-L278</f>
        <v/>
      </c>
      <c r="N278" s="16" t="n">
        <v>480</v>
      </c>
      <c r="O278" s="16">
        <f>M278-N278</f>
        <v/>
      </c>
      <c r="P278" s="17">
        <f>IFERROR(O278/M278, 0)</f>
        <v/>
      </c>
      <c r="Q278" s="29" t="inlineStr">
        <is>
          <t>Delivered</t>
        </is>
      </c>
    </row>
    <row r="279">
      <c r="A279" s="33" t="n">
        <v>146</v>
      </c>
      <c r="B279" s="33" t="inlineStr">
        <is>
          <t>2024-11-17</t>
        </is>
      </c>
      <c r="C279" s="34" t="inlineStr">
        <is>
          <t>Kunal Rao</t>
        </is>
      </c>
      <c r="D279" s="33" t="inlineStr">
        <is>
          <t>East</t>
        </is>
      </c>
      <c r="E279" s="34" t="inlineStr">
        <is>
          <t>Guwahati</t>
        </is>
      </c>
      <c r="F279" s="34" t="inlineStr">
        <is>
          <t>Automatic Air Fryer 4.5L</t>
        </is>
      </c>
      <c r="G279" s="33" t="inlineStr">
        <is>
          <t>Home &amp; Living</t>
        </is>
      </c>
      <c r="H279" s="35" t="n">
        <v>3</v>
      </c>
      <c r="I279" s="20" t="n">
        <v>5499</v>
      </c>
      <c r="J279" s="36" t="n">
        <v>0.05</v>
      </c>
      <c r="K279" s="20">
        <f>H279*I279</f>
        <v/>
      </c>
      <c r="L279" s="20">
        <f>K279*J279</f>
        <v/>
      </c>
      <c r="M279" s="20">
        <f>K279-L279</f>
        <v/>
      </c>
      <c r="N279" s="20" t="n">
        <v>10800</v>
      </c>
      <c r="O279" s="20">
        <f>M279-N279</f>
        <v/>
      </c>
      <c r="P279" s="21">
        <f>IFERROR(O279/M279, 0)</f>
        <v/>
      </c>
      <c r="Q279" s="33" t="inlineStr">
        <is>
          <t>Shipped</t>
        </is>
      </c>
    </row>
    <row r="280">
      <c r="A280" s="29" t="n">
        <v>147</v>
      </c>
      <c r="B280" s="29" t="inlineStr">
        <is>
          <t>2024-12-10</t>
        </is>
      </c>
      <c r="C280" s="30" t="inlineStr">
        <is>
          <t>Alok Rao</t>
        </is>
      </c>
      <c r="D280" s="29" t="inlineStr">
        <is>
          <t>North</t>
        </is>
      </c>
      <c r="E280" s="30" t="inlineStr">
        <is>
          <t>Jaipur</t>
        </is>
      </c>
      <c r="F280" s="30" t="inlineStr">
        <is>
          <t>Orthopedic Memory Foam Pillow</t>
        </is>
      </c>
      <c r="G280" s="29" t="inlineStr">
        <is>
          <t>Home &amp; Living</t>
        </is>
      </c>
      <c r="H280" s="31" t="n">
        <v>1</v>
      </c>
      <c r="I280" s="16" t="n">
        <v>1799</v>
      </c>
      <c r="J280" s="32" t="n">
        <v>0.15</v>
      </c>
      <c r="K280" s="16">
        <f>H280*I280</f>
        <v/>
      </c>
      <c r="L280" s="16">
        <f>K280*J280</f>
        <v/>
      </c>
      <c r="M280" s="16">
        <f>K280-L280</f>
        <v/>
      </c>
      <c r="N280" s="16" t="n">
        <v>950</v>
      </c>
      <c r="O280" s="16">
        <f>M280-N280</f>
        <v/>
      </c>
      <c r="P280" s="17">
        <f>IFERROR(O280/M280, 0)</f>
        <v/>
      </c>
      <c r="Q280" s="29" t="inlineStr">
        <is>
          <t>Shipped</t>
        </is>
      </c>
    </row>
    <row r="281">
      <c r="A281" s="33" t="n">
        <v>148</v>
      </c>
      <c r="B281" s="33" t="inlineStr">
        <is>
          <t>2025-03-08</t>
        </is>
      </c>
      <c r="C281" s="34" t="inlineStr">
        <is>
          <t>Arjun Choudhury</t>
        </is>
      </c>
      <c r="D281" s="33" t="inlineStr">
        <is>
          <t>East</t>
        </is>
      </c>
      <c r="E281" s="34" t="inlineStr">
        <is>
          <t>Patna</t>
        </is>
      </c>
      <c r="F281" s="34" t="inlineStr">
        <is>
          <t>Fast Charging Power Bank 20000mAh</t>
        </is>
      </c>
      <c r="G281" s="33" t="inlineStr">
        <is>
          <t>Electronics</t>
        </is>
      </c>
      <c r="H281" s="35" t="n">
        <v>1</v>
      </c>
      <c r="I281" s="20" t="n">
        <v>1899</v>
      </c>
      <c r="J281" s="36" t="n">
        <v>0.1</v>
      </c>
      <c r="K281" s="20">
        <f>H281*I281</f>
        <v/>
      </c>
      <c r="L281" s="20">
        <f>K281*J281</f>
        <v/>
      </c>
      <c r="M281" s="20">
        <f>K281-L281</f>
        <v/>
      </c>
      <c r="N281" s="20" t="n">
        <v>1150</v>
      </c>
      <c r="O281" s="20">
        <f>M281-N281</f>
        <v/>
      </c>
      <c r="P281" s="21">
        <f>IFERROR(O281/M281, 0)</f>
        <v/>
      </c>
      <c r="Q281" s="33" t="inlineStr">
        <is>
          <t>Delivered</t>
        </is>
      </c>
    </row>
    <row r="282">
      <c r="A282" s="29" t="n">
        <v>149</v>
      </c>
      <c r="B282" s="29" t="inlineStr">
        <is>
          <t>2024-12-31</t>
        </is>
      </c>
      <c r="C282" s="30" t="inlineStr">
        <is>
          <t>Meera Patel</t>
        </is>
      </c>
      <c r="D282" s="29" t="inlineStr">
        <is>
          <t>North</t>
        </is>
      </c>
      <c r="E282" s="30" t="inlineStr">
        <is>
          <t>Gurgaon</t>
        </is>
      </c>
      <c r="F282" s="30" t="inlineStr">
        <is>
          <t>Insulated Stainless Steel Sipper Bottle</t>
        </is>
      </c>
      <c r="G282" s="29" t="inlineStr">
        <is>
          <t>Sports</t>
        </is>
      </c>
      <c r="H282" s="31" t="n">
        <v>1</v>
      </c>
      <c r="I282" s="16" t="n">
        <v>799</v>
      </c>
      <c r="J282" s="32" t="n">
        <v>0.12</v>
      </c>
      <c r="K282" s="16">
        <f>H282*I282</f>
        <v/>
      </c>
      <c r="L282" s="16">
        <f>K282*J282</f>
        <v/>
      </c>
      <c r="M282" s="16">
        <f>K282-L282</f>
        <v/>
      </c>
      <c r="N282" s="16" t="n">
        <v>390</v>
      </c>
      <c r="O282" s="16">
        <f>M282-N282</f>
        <v/>
      </c>
      <c r="P282" s="17">
        <f>IFERROR(O282/M282, 0)</f>
        <v/>
      </c>
      <c r="Q282" s="29" t="inlineStr">
        <is>
          <t>Delivered</t>
        </is>
      </c>
    </row>
    <row r="283">
      <c r="A283" s="33" t="n">
        <v>149</v>
      </c>
      <c r="B283" s="33" t="inlineStr">
        <is>
          <t>2024-12-31</t>
        </is>
      </c>
      <c r="C283" s="34" t="inlineStr">
        <is>
          <t>Meera Patel</t>
        </is>
      </c>
      <c r="D283" s="33" t="inlineStr">
        <is>
          <t>North</t>
        </is>
      </c>
      <c r="E283" s="34" t="inlineStr">
        <is>
          <t>Gurgaon</t>
        </is>
      </c>
      <c r="F283" s="34" t="inlineStr">
        <is>
          <t>Automatic Air Fryer 4.5L</t>
        </is>
      </c>
      <c r="G283" s="33" t="inlineStr">
        <is>
          <t>Home &amp; Living</t>
        </is>
      </c>
      <c r="H283" s="35" t="n">
        <v>1</v>
      </c>
      <c r="I283" s="20" t="n">
        <v>5499</v>
      </c>
      <c r="J283" s="36" t="n">
        <v>0.1</v>
      </c>
      <c r="K283" s="20">
        <f>H283*I283</f>
        <v/>
      </c>
      <c r="L283" s="20">
        <f>K283*J283</f>
        <v/>
      </c>
      <c r="M283" s="20">
        <f>K283-L283</f>
        <v/>
      </c>
      <c r="N283" s="20" t="n">
        <v>3600</v>
      </c>
      <c r="O283" s="20">
        <f>M283-N283</f>
        <v/>
      </c>
      <c r="P283" s="21">
        <f>IFERROR(O283/M283, 0)</f>
        <v/>
      </c>
      <c r="Q283" s="33" t="inlineStr">
        <is>
          <t>Delivered</t>
        </is>
      </c>
    </row>
    <row r="284">
      <c r="A284" s="29" t="n">
        <v>150</v>
      </c>
      <c r="B284" s="29" t="inlineStr">
        <is>
          <t>2025-01-02</t>
        </is>
      </c>
      <c r="C284" s="30" t="inlineStr">
        <is>
          <t>Nandini Deshmukh</t>
        </is>
      </c>
      <c r="D284" s="29" t="inlineStr">
        <is>
          <t>West</t>
        </is>
      </c>
      <c r="E284" s="30" t="inlineStr">
        <is>
          <t>Mumbai</t>
        </is>
      </c>
      <c r="F284" s="30" t="inlineStr">
        <is>
          <t>Automatic Air Fryer 4.5L</t>
        </is>
      </c>
      <c r="G284" s="29" t="inlineStr">
        <is>
          <t>Home &amp; Living</t>
        </is>
      </c>
      <c r="H284" s="31" t="n">
        <v>1</v>
      </c>
      <c r="I284" s="16" t="n">
        <v>5499</v>
      </c>
      <c r="J284" s="32" t="n">
        <v>0</v>
      </c>
      <c r="K284" s="16">
        <f>H284*I284</f>
        <v/>
      </c>
      <c r="L284" s="16">
        <f>K284*J284</f>
        <v/>
      </c>
      <c r="M284" s="16">
        <f>K284-L284</f>
        <v/>
      </c>
      <c r="N284" s="16" t="n">
        <v>3600</v>
      </c>
      <c r="O284" s="16">
        <f>M284-N284</f>
        <v/>
      </c>
      <c r="P284" s="17">
        <f>IFERROR(O284/M284, 0)</f>
        <v/>
      </c>
      <c r="Q284" s="29" t="inlineStr">
        <is>
          <t>Delivered</t>
        </is>
      </c>
    </row>
    <row r="285">
      <c r="A285" s="33" t="n">
        <v>150</v>
      </c>
      <c r="B285" s="33" t="inlineStr">
        <is>
          <t>2025-01-02</t>
        </is>
      </c>
      <c r="C285" s="34" t="inlineStr">
        <is>
          <t>Nandini Deshmukh</t>
        </is>
      </c>
      <c r="D285" s="33" t="inlineStr">
        <is>
          <t>West</t>
        </is>
      </c>
      <c r="E285" s="34" t="inlineStr">
        <is>
          <t>Mumbai</t>
        </is>
      </c>
      <c r="F285" s="34" t="inlineStr">
        <is>
          <t>Fast Charging Power Bank 20000mAh</t>
        </is>
      </c>
      <c r="G285" s="33" t="inlineStr">
        <is>
          <t>Electronics</t>
        </is>
      </c>
      <c r="H285" s="35" t="n">
        <v>2</v>
      </c>
      <c r="I285" s="20" t="n">
        <v>1899</v>
      </c>
      <c r="J285" s="36" t="n">
        <v>0.2</v>
      </c>
      <c r="K285" s="20">
        <f>H285*I285</f>
        <v/>
      </c>
      <c r="L285" s="20">
        <f>K285*J285</f>
        <v/>
      </c>
      <c r="M285" s="20">
        <f>K285-L285</f>
        <v/>
      </c>
      <c r="N285" s="20" t="n">
        <v>2300</v>
      </c>
      <c r="O285" s="20">
        <f>M285-N285</f>
        <v/>
      </c>
      <c r="P285" s="21">
        <f>IFERROR(O285/M285, 0)</f>
        <v/>
      </c>
      <c r="Q285" s="33" t="inlineStr">
        <is>
          <t>Delivered</t>
        </is>
      </c>
    </row>
    <row r="286">
      <c r="A286" s="29" t="n">
        <v>150</v>
      </c>
      <c r="B286" s="29" t="inlineStr">
        <is>
          <t>2025-01-02</t>
        </is>
      </c>
      <c r="C286" s="30" t="inlineStr">
        <is>
          <t>Nandini Deshmukh</t>
        </is>
      </c>
      <c r="D286" s="29" t="inlineStr">
        <is>
          <t>West</t>
        </is>
      </c>
      <c r="E286" s="30" t="inlineStr">
        <is>
          <t>Mumbai</t>
        </is>
      </c>
      <c r="F286" s="30" t="inlineStr">
        <is>
          <t>Insulated Stainless Steel Sipper Bottle</t>
        </is>
      </c>
      <c r="G286" s="29" t="inlineStr">
        <is>
          <t>Sports</t>
        </is>
      </c>
      <c r="H286" s="31" t="n">
        <v>5</v>
      </c>
      <c r="I286" s="16" t="n">
        <v>799</v>
      </c>
      <c r="J286" s="32" t="n">
        <v>0.15</v>
      </c>
      <c r="K286" s="16">
        <f>H286*I286</f>
        <v/>
      </c>
      <c r="L286" s="16">
        <f>K286*J286</f>
        <v/>
      </c>
      <c r="M286" s="16">
        <f>K286-L286</f>
        <v/>
      </c>
      <c r="N286" s="16" t="n">
        <v>1950</v>
      </c>
      <c r="O286" s="16">
        <f>M286-N286</f>
        <v/>
      </c>
      <c r="P286" s="17">
        <f>IFERROR(O286/M286, 0)</f>
        <v/>
      </c>
      <c r="Q286" s="29" t="inlineStr">
        <is>
          <t>Delivered</t>
        </is>
      </c>
    </row>
    <row r="287">
      <c r="A287" s="33" t="n">
        <v>151</v>
      </c>
      <c r="B287" s="33" t="inlineStr">
        <is>
          <t>2024-12-04</t>
        </is>
      </c>
      <c r="C287" s="34" t="inlineStr">
        <is>
          <t>Simran Patel</t>
        </is>
      </c>
      <c r="D287" s="33" t="inlineStr">
        <is>
          <t>North</t>
        </is>
      </c>
      <c r="E287" s="34" t="inlineStr">
        <is>
          <t>Delhi</t>
        </is>
      </c>
      <c r="F287" s="34" t="inlineStr">
        <is>
          <t>Lightweight Running Sports Shoes</t>
        </is>
      </c>
      <c r="G287" s="33" t="inlineStr">
        <is>
          <t>Fashion</t>
        </is>
      </c>
      <c r="H287" s="35" t="n">
        <v>2</v>
      </c>
      <c r="I287" s="20" t="n">
        <v>3199</v>
      </c>
      <c r="J287" s="36" t="n">
        <v>0.15</v>
      </c>
      <c r="K287" s="20">
        <f>H287*I287</f>
        <v/>
      </c>
      <c r="L287" s="20">
        <f>K287*J287</f>
        <v/>
      </c>
      <c r="M287" s="20">
        <f>K287-L287</f>
        <v/>
      </c>
      <c r="N287" s="20" t="n">
        <v>3000</v>
      </c>
      <c r="O287" s="20">
        <f>M287-N287</f>
        <v/>
      </c>
      <c r="P287" s="21">
        <f>IFERROR(O287/M287, 0)</f>
        <v/>
      </c>
      <c r="Q287" s="33" t="inlineStr">
        <is>
          <t>Shipped</t>
        </is>
      </c>
    </row>
    <row r="288">
      <c r="A288" s="29" t="n">
        <v>151</v>
      </c>
      <c r="B288" s="29" t="inlineStr">
        <is>
          <t>2024-12-04</t>
        </is>
      </c>
      <c r="C288" s="30" t="inlineStr">
        <is>
          <t>Simran Patel</t>
        </is>
      </c>
      <c r="D288" s="29" t="inlineStr">
        <is>
          <t>North</t>
        </is>
      </c>
      <c r="E288" s="30" t="inlineStr">
        <is>
          <t>Delhi</t>
        </is>
      </c>
      <c r="F288" s="30" t="inlineStr">
        <is>
          <t>Fast Charging Power Bank 20000mAh</t>
        </is>
      </c>
      <c r="G288" s="29" t="inlineStr">
        <is>
          <t>Electronics</t>
        </is>
      </c>
      <c r="H288" s="31" t="n">
        <v>2</v>
      </c>
      <c r="I288" s="16" t="n">
        <v>1899</v>
      </c>
      <c r="J288" s="32" t="n">
        <v>0.2</v>
      </c>
      <c r="K288" s="16">
        <f>H288*I288</f>
        <v/>
      </c>
      <c r="L288" s="16">
        <f>K288*J288</f>
        <v/>
      </c>
      <c r="M288" s="16">
        <f>K288-L288</f>
        <v/>
      </c>
      <c r="N288" s="16" t="n">
        <v>2300</v>
      </c>
      <c r="O288" s="16">
        <f>M288-N288</f>
        <v/>
      </c>
      <c r="P288" s="17">
        <f>IFERROR(O288/M288, 0)</f>
        <v/>
      </c>
      <c r="Q288" s="29" t="inlineStr">
        <is>
          <t>Shipped</t>
        </is>
      </c>
    </row>
    <row r="289">
      <c r="A289" s="33" t="n">
        <v>152</v>
      </c>
      <c r="B289" s="33" t="inlineStr">
        <is>
          <t>2025-07-19</t>
        </is>
      </c>
      <c r="C289" s="34" t="inlineStr">
        <is>
          <t>Nandini Bhat</t>
        </is>
      </c>
      <c r="D289" s="33" t="inlineStr">
        <is>
          <t>South</t>
        </is>
      </c>
      <c r="E289" s="34" t="inlineStr">
        <is>
          <t>Kochi</t>
        </is>
      </c>
      <c r="F289" s="34" t="inlineStr">
        <is>
          <t>Men Slim-Fit Cotton Casual Shirt</t>
        </is>
      </c>
      <c r="G289" s="33" t="inlineStr">
        <is>
          <t>Fashion</t>
        </is>
      </c>
      <c r="H289" s="35" t="n">
        <v>2</v>
      </c>
      <c r="I289" s="20" t="n">
        <v>1499</v>
      </c>
      <c r="J289" s="36" t="n">
        <v>0</v>
      </c>
      <c r="K289" s="20">
        <f>H289*I289</f>
        <v/>
      </c>
      <c r="L289" s="20">
        <f>K289*J289</f>
        <v/>
      </c>
      <c r="M289" s="20">
        <f>K289-L289</f>
        <v/>
      </c>
      <c r="N289" s="20" t="n">
        <v>1300</v>
      </c>
      <c r="O289" s="20">
        <f>M289-N289</f>
        <v/>
      </c>
      <c r="P289" s="21">
        <f>IFERROR(O289/M289, 0)</f>
        <v/>
      </c>
      <c r="Q289" s="33" t="inlineStr">
        <is>
          <t>Delivered</t>
        </is>
      </c>
    </row>
    <row r="290">
      <c r="A290" s="29" t="n">
        <v>153</v>
      </c>
      <c r="B290" s="29" t="inlineStr">
        <is>
          <t>2024-11-14</t>
        </is>
      </c>
      <c r="C290" s="30" t="inlineStr">
        <is>
          <t>Vikram Saxena</t>
        </is>
      </c>
      <c r="D290" s="29" t="inlineStr">
        <is>
          <t>South</t>
        </is>
      </c>
      <c r="E290" s="30" t="inlineStr">
        <is>
          <t>Coimbatore</t>
        </is>
      </c>
      <c r="F290" s="30" t="inlineStr">
        <is>
          <t>Orthopedic Memory Foam Pillow</t>
        </is>
      </c>
      <c r="G290" s="29" t="inlineStr">
        <is>
          <t>Home &amp; Living</t>
        </is>
      </c>
      <c r="H290" s="31" t="n">
        <v>2</v>
      </c>
      <c r="I290" s="16" t="n">
        <v>1799</v>
      </c>
      <c r="J290" s="32" t="n">
        <v>0.12</v>
      </c>
      <c r="K290" s="16">
        <f>H290*I290</f>
        <v/>
      </c>
      <c r="L290" s="16">
        <f>K290*J290</f>
        <v/>
      </c>
      <c r="M290" s="16">
        <f>K290-L290</f>
        <v/>
      </c>
      <c r="N290" s="16" t="n">
        <v>1900</v>
      </c>
      <c r="O290" s="16">
        <f>M290-N290</f>
        <v/>
      </c>
      <c r="P290" s="17">
        <f>IFERROR(O290/M290, 0)</f>
        <v/>
      </c>
      <c r="Q290" s="29" t="inlineStr">
        <is>
          <t>Delivered</t>
        </is>
      </c>
    </row>
    <row r="291">
      <c r="A291" s="33" t="n">
        <v>153</v>
      </c>
      <c r="B291" s="33" t="inlineStr">
        <is>
          <t>2024-11-14</t>
        </is>
      </c>
      <c r="C291" s="34" t="inlineStr">
        <is>
          <t>Vikram Saxena</t>
        </is>
      </c>
      <c r="D291" s="33" t="inlineStr">
        <is>
          <t>South</t>
        </is>
      </c>
      <c r="E291" s="34" t="inlineStr">
        <is>
          <t>Coimbatore</t>
        </is>
      </c>
      <c r="F291" s="34" t="inlineStr">
        <is>
          <t>Automatic Air Fryer 4.5L</t>
        </is>
      </c>
      <c r="G291" s="33" t="inlineStr">
        <is>
          <t>Home &amp; Living</t>
        </is>
      </c>
      <c r="H291" s="35" t="n">
        <v>1</v>
      </c>
      <c r="I291" s="20" t="n">
        <v>5499</v>
      </c>
      <c r="J291" s="36" t="n">
        <v>0</v>
      </c>
      <c r="K291" s="20">
        <f>H291*I291</f>
        <v/>
      </c>
      <c r="L291" s="20">
        <f>K291*J291</f>
        <v/>
      </c>
      <c r="M291" s="20">
        <f>K291-L291</f>
        <v/>
      </c>
      <c r="N291" s="20" t="n">
        <v>3600</v>
      </c>
      <c r="O291" s="20">
        <f>M291-N291</f>
        <v/>
      </c>
      <c r="P291" s="21">
        <f>IFERROR(O291/M291, 0)</f>
        <v/>
      </c>
      <c r="Q291" s="33" t="inlineStr">
        <is>
          <t>Delivered</t>
        </is>
      </c>
    </row>
    <row r="292">
      <c r="A292" s="29" t="n">
        <v>154</v>
      </c>
      <c r="B292" s="29" t="inlineStr">
        <is>
          <t>2025-04-08</t>
        </is>
      </c>
      <c r="C292" s="30" t="inlineStr">
        <is>
          <t>Rohit Bhat</t>
        </is>
      </c>
      <c r="D292" s="29" t="inlineStr">
        <is>
          <t>Central</t>
        </is>
      </c>
      <c r="E292" s="30" t="inlineStr">
        <is>
          <t>Bhopal</t>
        </is>
      </c>
      <c r="F292" s="30" t="inlineStr">
        <is>
          <t>Skipping Rope with Digital Counter</t>
        </is>
      </c>
      <c r="G292" s="29" t="inlineStr">
        <is>
          <t>Sports</t>
        </is>
      </c>
      <c r="H292" s="31" t="n">
        <v>2</v>
      </c>
      <c r="I292" s="16" t="n">
        <v>499</v>
      </c>
      <c r="J292" s="32" t="n">
        <v>0.2</v>
      </c>
      <c r="K292" s="16">
        <f>H292*I292</f>
        <v/>
      </c>
      <c r="L292" s="16">
        <f>K292*J292</f>
        <v/>
      </c>
      <c r="M292" s="16">
        <f>K292-L292</f>
        <v/>
      </c>
      <c r="N292" s="16" t="n">
        <v>420</v>
      </c>
      <c r="O292" s="16">
        <f>M292-N292</f>
        <v/>
      </c>
      <c r="P292" s="17">
        <f>IFERROR(O292/M292, 0)</f>
        <v/>
      </c>
      <c r="Q292" s="29" t="inlineStr">
        <is>
          <t>Delivered</t>
        </is>
      </c>
    </row>
    <row r="293">
      <c r="A293" s="33" t="n">
        <v>154</v>
      </c>
      <c r="B293" s="33" t="inlineStr">
        <is>
          <t>2025-04-08</t>
        </is>
      </c>
      <c r="C293" s="34" t="inlineStr">
        <is>
          <t>Rohit Bhat</t>
        </is>
      </c>
      <c r="D293" s="33" t="inlineStr">
        <is>
          <t>Central</t>
        </is>
      </c>
      <c r="E293" s="34" t="inlineStr">
        <is>
          <t>Bhopal</t>
        </is>
      </c>
      <c r="F293" s="34" t="inlineStr">
        <is>
          <t>Multipurpose Desk Organizer Set</t>
        </is>
      </c>
      <c r="G293" s="33" t="inlineStr">
        <is>
          <t>Home &amp; Living</t>
        </is>
      </c>
      <c r="H293" s="35" t="n">
        <v>1</v>
      </c>
      <c r="I293" s="20" t="n">
        <v>699</v>
      </c>
      <c r="J293" s="36" t="n">
        <v>0</v>
      </c>
      <c r="K293" s="20">
        <f>H293*I293</f>
        <v/>
      </c>
      <c r="L293" s="20">
        <f>K293*J293</f>
        <v/>
      </c>
      <c r="M293" s="20">
        <f>K293-L293</f>
        <v/>
      </c>
      <c r="N293" s="20" t="n">
        <v>290</v>
      </c>
      <c r="O293" s="20">
        <f>M293-N293</f>
        <v/>
      </c>
      <c r="P293" s="21">
        <f>IFERROR(O293/M293, 0)</f>
        <v/>
      </c>
      <c r="Q293" s="33" t="inlineStr">
        <is>
          <t>Delivered</t>
        </is>
      </c>
    </row>
    <row r="294">
      <c r="A294" s="29" t="n">
        <v>154</v>
      </c>
      <c r="B294" s="29" t="inlineStr">
        <is>
          <t>2025-04-08</t>
        </is>
      </c>
      <c r="C294" s="30" t="inlineStr">
        <is>
          <t>Rohit Bhat</t>
        </is>
      </c>
      <c r="D294" s="29" t="inlineStr">
        <is>
          <t>Central</t>
        </is>
      </c>
      <c r="E294" s="30" t="inlineStr">
        <is>
          <t>Bhopal</t>
        </is>
      </c>
      <c r="F294" s="30" t="inlineStr">
        <is>
          <t>Organic Green Tea 100 Bags</t>
        </is>
      </c>
      <c r="G294" s="29" t="inlineStr">
        <is>
          <t>Groceries</t>
        </is>
      </c>
      <c r="H294" s="31" t="n">
        <v>4</v>
      </c>
      <c r="I294" s="16" t="n">
        <v>450</v>
      </c>
      <c r="J294" s="32" t="n">
        <v>0.15</v>
      </c>
      <c r="K294" s="16">
        <f>H294*I294</f>
        <v/>
      </c>
      <c r="L294" s="16">
        <f>K294*J294</f>
        <v/>
      </c>
      <c r="M294" s="16">
        <f>K294-L294</f>
        <v/>
      </c>
      <c r="N294" s="16" t="n">
        <v>1040</v>
      </c>
      <c r="O294" s="16">
        <f>M294-N294</f>
        <v/>
      </c>
      <c r="P294" s="17">
        <f>IFERROR(O294/M294, 0)</f>
        <v/>
      </c>
      <c r="Q294" s="29" t="inlineStr">
        <is>
          <t>Delivered</t>
        </is>
      </c>
    </row>
    <row r="295">
      <c r="A295" s="33" t="n">
        <v>154</v>
      </c>
      <c r="B295" s="33" t="inlineStr">
        <is>
          <t>2025-04-08</t>
        </is>
      </c>
      <c r="C295" s="34" t="inlineStr">
        <is>
          <t>Rohit Bhat</t>
        </is>
      </c>
      <c r="D295" s="33" t="inlineStr">
        <is>
          <t>Central</t>
        </is>
      </c>
      <c r="E295" s="34" t="inlineStr">
        <is>
          <t>Bhopal</t>
        </is>
      </c>
      <c r="F295" s="34" t="inlineStr">
        <is>
          <t>Double Bed Pure Cotton Bedsheet</t>
        </is>
      </c>
      <c r="G295" s="33" t="inlineStr">
        <is>
          <t>Home &amp; Living</t>
        </is>
      </c>
      <c r="H295" s="35" t="n">
        <v>1</v>
      </c>
      <c r="I295" s="20" t="n">
        <v>1599</v>
      </c>
      <c r="J295" s="36" t="n">
        <v>0.1</v>
      </c>
      <c r="K295" s="20">
        <f>H295*I295</f>
        <v/>
      </c>
      <c r="L295" s="20">
        <f>K295*J295</f>
        <v/>
      </c>
      <c r="M295" s="20">
        <f>K295-L295</f>
        <v/>
      </c>
      <c r="N295" s="20" t="n">
        <v>780</v>
      </c>
      <c r="O295" s="20">
        <f>M295-N295</f>
        <v/>
      </c>
      <c r="P295" s="21">
        <f>IFERROR(O295/M295, 0)</f>
        <v/>
      </c>
      <c r="Q295" s="33" t="inlineStr">
        <is>
          <t>Delivered</t>
        </is>
      </c>
    </row>
    <row r="296">
      <c r="A296" s="29" t="n">
        <v>155</v>
      </c>
      <c r="B296" s="29" t="inlineStr">
        <is>
          <t>2025-07-23</t>
        </is>
      </c>
      <c r="C296" s="30" t="inlineStr">
        <is>
          <t>Nikhil Joshi</t>
        </is>
      </c>
      <c r="D296" s="29" t="inlineStr">
        <is>
          <t>Central</t>
        </is>
      </c>
      <c r="E296" s="30" t="inlineStr">
        <is>
          <t>Gwalior</t>
        </is>
      </c>
      <c r="F296" s="30" t="inlineStr">
        <is>
          <t>Cold-Pressed Extra Virgin Olive Oil 1L</t>
        </is>
      </c>
      <c r="G296" s="29" t="inlineStr">
        <is>
          <t>Groceries</t>
        </is>
      </c>
      <c r="H296" s="31" t="n">
        <v>2</v>
      </c>
      <c r="I296" s="16" t="n">
        <v>1199</v>
      </c>
      <c r="J296" s="32" t="n">
        <v>0</v>
      </c>
      <c r="K296" s="16">
        <f>H296*I296</f>
        <v/>
      </c>
      <c r="L296" s="16">
        <f>K296*J296</f>
        <v/>
      </c>
      <c r="M296" s="16">
        <f>K296-L296</f>
        <v/>
      </c>
      <c r="N296" s="16" t="n">
        <v>1560</v>
      </c>
      <c r="O296" s="16">
        <f>M296-N296</f>
        <v/>
      </c>
      <c r="P296" s="17">
        <f>IFERROR(O296/M296, 0)</f>
        <v/>
      </c>
      <c r="Q296" s="29" t="inlineStr">
        <is>
          <t>Delivered</t>
        </is>
      </c>
    </row>
    <row r="297">
      <c r="A297" s="33" t="n">
        <v>156</v>
      </c>
      <c r="B297" s="33" t="inlineStr">
        <is>
          <t>2025-06-10</t>
        </is>
      </c>
      <c r="C297" s="34" t="inlineStr">
        <is>
          <t>Manoj Patel</t>
        </is>
      </c>
      <c r="D297" s="33" t="inlineStr">
        <is>
          <t>West</t>
        </is>
      </c>
      <c r="E297" s="34" t="inlineStr">
        <is>
          <t>Surat</t>
        </is>
      </c>
      <c r="F297" s="34" t="inlineStr">
        <is>
          <t>Wireless Noise-Cancelling Headphones</t>
        </is>
      </c>
      <c r="G297" s="33" t="inlineStr">
        <is>
          <t>Electronics</t>
        </is>
      </c>
      <c r="H297" s="35" t="n">
        <v>1</v>
      </c>
      <c r="I297" s="20" t="n">
        <v>7499</v>
      </c>
      <c r="J297" s="36" t="n">
        <v>0</v>
      </c>
      <c r="K297" s="20">
        <f>H297*I297</f>
        <v/>
      </c>
      <c r="L297" s="20">
        <f>K297*J297</f>
        <v/>
      </c>
      <c r="M297" s="20">
        <f>K297-L297</f>
        <v/>
      </c>
      <c r="N297" s="20" t="n">
        <v>4800</v>
      </c>
      <c r="O297" s="20">
        <f>M297-N297</f>
        <v/>
      </c>
      <c r="P297" s="21">
        <f>IFERROR(O297/M297, 0)</f>
        <v/>
      </c>
      <c r="Q297" s="33" t="inlineStr">
        <is>
          <t>Shipped</t>
        </is>
      </c>
    </row>
    <row r="298">
      <c r="A298" s="29" t="n">
        <v>156</v>
      </c>
      <c r="B298" s="29" t="inlineStr">
        <is>
          <t>2025-06-10</t>
        </is>
      </c>
      <c r="C298" s="30" t="inlineStr">
        <is>
          <t>Manoj Patel</t>
        </is>
      </c>
      <c r="D298" s="29" t="inlineStr">
        <is>
          <t>West</t>
        </is>
      </c>
      <c r="E298" s="30" t="inlineStr">
        <is>
          <t>Surat</t>
        </is>
      </c>
      <c r="F298" s="30" t="inlineStr">
        <is>
          <t>Ergonomic Wireless Mouse</t>
        </is>
      </c>
      <c r="G298" s="29" t="inlineStr">
        <is>
          <t>Electronics</t>
        </is>
      </c>
      <c r="H298" s="31" t="n">
        <v>1</v>
      </c>
      <c r="I298" s="16" t="n">
        <v>1299</v>
      </c>
      <c r="J298" s="32" t="n">
        <v>0.15</v>
      </c>
      <c r="K298" s="16">
        <f>H298*I298</f>
        <v/>
      </c>
      <c r="L298" s="16">
        <f>K298*J298</f>
        <v/>
      </c>
      <c r="M298" s="16">
        <f>K298-L298</f>
        <v/>
      </c>
      <c r="N298" s="16" t="n">
        <v>750</v>
      </c>
      <c r="O298" s="16">
        <f>M298-N298</f>
        <v/>
      </c>
      <c r="P298" s="17">
        <f>IFERROR(O298/M298, 0)</f>
        <v/>
      </c>
      <c r="Q298" s="29" t="inlineStr">
        <is>
          <t>Shipped</t>
        </is>
      </c>
    </row>
    <row r="299">
      <c r="A299" s="33" t="n">
        <v>156</v>
      </c>
      <c r="B299" s="33" t="inlineStr">
        <is>
          <t>2025-06-10</t>
        </is>
      </c>
      <c r="C299" s="34" t="inlineStr">
        <is>
          <t>Manoj Patel</t>
        </is>
      </c>
      <c r="D299" s="33" t="inlineStr">
        <is>
          <t>West</t>
        </is>
      </c>
      <c r="E299" s="34" t="inlineStr">
        <is>
          <t>Surat</t>
        </is>
      </c>
      <c r="F299" s="34" t="inlineStr">
        <is>
          <t>Organic Green Tea 100 Bags</t>
        </is>
      </c>
      <c r="G299" s="33" t="inlineStr">
        <is>
          <t>Groceries</t>
        </is>
      </c>
      <c r="H299" s="35" t="n">
        <v>1</v>
      </c>
      <c r="I299" s="20" t="n">
        <v>450</v>
      </c>
      <c r="J299" s="36" t="n">
        <v>0.12</v>
      </c>
      <c r="K299" s="20">
        <f>H299*I299</f>
        <v/>
      </c>
      <c r="L299" s="20">
        <f>K299*J299</f>
        <v/>
      </c>
      <c r="M299" s="20">
        <f>K299-L299</f>
        <v/>
      </c>
      <c r="N299" s="20" t="n">
        <v>260</v>
      </c>
      <c r="O299" s="20">
        <f>M299-N299</f>
        <v/>
      </c>
      <c r="P299" s="21">
        <f>IFERROR(O299/M299, 0)</f>
        <v/>
      </c>
      <c r="Q299" s="33" t="inlineStr">
        <is>
          <t>Shipped</t>
        </is>
      </c>
    </row>
    <row r="300">
      <c r="A300" s="29" t="n">
        <v>157</v>
      </c>
      <c r="B300" s="29" t="inlineStr">
        <is>
          <t>2024-12-11</t>
        </is>
      </c>
      <c r="C300" s="30" t="inlineStr">
        <is>
          <t>Alok Bhat</t>
        </is>
      </c>
      <c r="D300" s="29" t="inlineStr">
        <is>
          <t>North</t>
        </is>
      </c>
      <c r="E300" s="30" t="inlineStr">
        <is>
          <t>Noida</t>
        </is>
      </c>
      <c r="F300" s="30" t="inlineStr">
        <is>
          <t>Cold-Pressed Extra Virgin Olive Oil 1L</t>
        </is>
      </c>
      <c r="G300" s="29" t="inlineStr">
        <is>
          <t>Groceries</t>
        </is>
      </c>
      <c r="H300" s="31" t="n">
        <v>1</v>
      </c>
      <c r="I300" s="16" t="n">
        <v>1199</v>
      </c>
      <c r="J300" s="32" t="n">
        <v>0.15</v>
      </c>
      <c r="K300" s="16">
        <f>H300*I300</f>
        <v/>
      </c>
      <c r="L300" s="16">
        <f>K300*J300</f>
        <v/>
      </c>
      <c r="M300" s="16">
        <f>K300-L300</f>
        <v/>
      </c>
      <c r="N300" s="16" t="n">
        <v>780</v>
      </c>
      <c r="O300" s="16">
        <f>M300-N300</f>
        <v/>
      </c>
      <c r="P300" s="17">
        <f>IFERROR(O300/M300, 0)</f>
        <v/>
      </c>
      <c r="Q300" s="29" t="inlineStr">
        <is>
          <t>Delivered</t>
        </is>
      </c>
    </row>
    <row r="301">
      <c r="A301" s="33" t="n">
        <v>158</v>
      </c>
      <c r="B301" s="33" t="inlineStr">
        <is>
          <t>2025-09-11</t>
        </is>
      </c>
      <c r="C301" s="34" t="inlineStr">
        <is>
          <t>Kiran Gupta</t>
        </is>
      </c>
      <c r="D301" s="33" t="inlineStr">
        <is>
          <t>North</t>
        </is>
      </c>
      <c r="E301" s="34" t="inlineStr">
        <is>
          <t>Delhi</t>
        </is>
      </c>
      <c r="F301" s="34" t="inlineStr">
        <is>
          <t>Anti-Skid Yoga Mat 6mm</t>
        </is>
      </c>
      <c r="G301" s="33" t="inlineStr">
        <is>
          <t>Sports</t>
        </is>
      </c>
      <c r="H301" s="35" t="n">
        <v>1</v>
      </c>
      <c r="I301" s="20" t="n">
        <v>999</v>
      </c>
      <c r="J301" s="36" t="n">
        <v>0.12</v>
      </c>
      <c r="K301" s="20">
        <f>H301*I301</f>
        <v/>
      </c>
      <c r="L301" s="20">
        <f>K301*J301</f>
        <v/>
      </c>
      <c r="M301" s="20">
        <f>K301-L301</f>
        <v/>
      </c>
      <c r="N301" s="20" t="n">
        <v>480</v>
      </c>
      <c r="O301" s="20">
        <f>M301-N301</f>
        <v/>
      </c>
      <c r="P301" s="21">
        <f>IFERROR(O301/M301, 0)</f>
        <v/>
      </c>
      <c r="Q301" s="33" t="inlineStr">
        <is>
          <t>Shipped</t>
        </is>
      </c>
    </row>
    <row r="302">
      <c r="A302" s="29" t="n">
        <v>159</v>
      </c>
      <c r="B302" s="29" t="inlineStr">
        <is>
          <t>2025-01-27</t>
        </is>
      </c>
      <c r="C302" s="30" t="inlineStr">
        <is>
          <t>Amit Gupta</t>
        </is>
      </c>
      <c r="D302" s="29" t="inlineStr">
        <is>
          <t>Central</t>
        </is>
      </c>
      <c r="E302" s="30" t="inlineStr">
        <is>
          <t>Gwalior</t>
        </is>
      </c>
      <c r="F302" s="30" t="inlineStr">
        <is>
          <t>Pure Raw Honey 500g</t>
        </is>
      </c>
      <c r="G302" s="29" t="inlineStr">
        <is>
          <t>Groceries</t>
        </is>
      </c>
      <c r="H302" s="31" t="n">
        <v>2</v>
      </c>
      <c r="I302" s="16" t="n">
        <v>399</v>
      </c>
      <c r="J302" s="32" t="n">
        <v>0.12</v>
      </c>
      <c r="K302" s="16">
        <f>H302*I302</f>
        <v/>
      </c>
      <c r="L302" s="16">
        <f>K302*J302</f>
        <v/>
      </c>
      <c r="M302" s="16">
        <f>K302-L302</f>
        <v/>
      </c>
      <c r="N302" s="16" t="n">
        <v>420</v>
      </c>
      <c r="O302" s="16">
        <f>M302-N302</f>
        <v/>
      </c>
      <c r="P302" s="17">
        <f>IFERROR(O302/M302, 0)</f>
        <v/>
      </c>
      <c r="Q302" s="29" t="inlineStr">
        <is>
          <t>Processing</t>
        </is>
      </c>
    </row>
    <row r="303">
      <c r="A303" s="33" t="n">
        <v>159</v>
      </c>
      <c r="B303" s="33" t="inlineStr">
        <is>
          <t>2025-01-27</t>
        </is>
      </c>
      <c r="C303" s="34" t="inlineStr">
        <is>
          <t>Amit Gupta</t>
        </is>
      </c>
      <c r="D303" s="33" t="inlineStr">
        <is>
          <t>Central</t>
        </is>
      </c>
      <c r="E303" s="34" t="inlineStr">
        <is>
          <t>Gwalior</t>
        </is>
      </c>
      <c r="F303" s="34" t="inlineStr">
        <is>
          <t>Genuine Leather Bifold Wallet</t>
        </is>
      </c>
      <c r="G303" s="33" t="inlineStr">
        <is>
          <t>Fashion</t>
        </is>
      </c>
      <c r="H303" s="35" t="n">
        <v>1</v>
      </c>
      <c r="I303" s="20" t="n">
        <v>899</v>
      </c>
      <c r="J303" s="36" t="n">
        <v>0.2</v>
      </c>
      <c r="K303" s="20">
        <f>H303*I303</f>
        <v/>
      </c>
      <c r="L303" s="20">
        <f>K303*J303</f>
        <v/>
      </c>
      <c r="M303" s="20">
        <f>K303-L303</f>
        <v/>
      </c>
      <c r="N303" s="20" t="n">
        <v>380</v>
      </c>
      <c r="O303" s="20">
        <f>M303-N303</f>
        <v/>
      </c>
      <c r="P303" s="21">
        <f>IFERROR(O303/M303, 0)</f>
        <v/>
      </c>
      <c r="Q303" s="33" t="inlineStr">
        <is>
          <t>Processing</t>
        </is>
      </c>
    </row>
    <row r="304">
      <c r="A304" s="29" t="n">
        <v>160</v>
      </c>
      <c r="B304" s="29" t="inlineStr">
        <is>
          <t>2024-12-12</t>
        </is>
      </c>
      <c r="C304" s="30" t="inlineStr">
        <is>
          <t>Rhea Kulkarni</t>
        </is>
      </c>
      <c r="D304" s="29" t="inlineStr">
        <is>
          <t>North</t>
        </is>
      </c>
      <c r="E304" s="30" t="inlineStr">
        <is>
          <t>Jaipur</t>
        </is>
      </c>
      <c r="F304" s="30" t="inlineStr">
        <is>
          <t>Premium California Almonds 500g</t>
        </is>
      </c>
      <c r="G304" s="29" t="inlineStr">
        <is>
          <t>Groceries</t>
        </is>
      </c>
      <c r="H304" s="31" t="n">
        <v>1</v>
      </c>
      <c r="I304" s="16" t="n">
        <v>599</v>
      </c>
      <c r="J304" s="32" t="n">
        <v>0.12</v>
      </c>
      <c r="K304" s="16">
        <f>H304*I304</f>
        <v/>
      </c>
      <c r="L304" s="16">
        <f>K304*J304</f>
        <v/>
      </c>
      <c r="M304" s="16">
        <f>K304-L304</f>
        <v/>
      </c>
      <c r="N304" s="16" t="n">
        <v>380</v>
      </c>
      <c r="O304" s="16">
        <f>M304-N304</f>
        <v/>
      </c>
      <c r="P304" s="17">
        <f>IFERROR(O304/M304, 0)</f>
        <v/>
      </c>
      <c r="Q304" s="29" t="inlineStr">
        <is>
          <t>Delivered</t>
        </is>
      </c>
    </row>
    <row r="305">
      <c r="A305" s="33" t="n">
        <v>160</v>
      </c>
      <c r="B305" s="33" t="inlineStr">
        <is>
          <t>2024-12-12</t>
        </is>
      </c>
      <c r="C305" s="34" t="inlineStr">
        <is>
          <t>Rhea Kulkarni</t>
        </is>
      </c>
      <c r="D305" s="33" t="inlineStr">
        <is>
          <t>North</t>
        </is>
      </c>
      <c r="E305" s="34" t="inlineStr">
        <is>
          <t>Jaipur</t>
        </is>
      </c>
      <c r="F305" s="34" t="inlineStr">
        <is>
          <t>Unisex Classic Denim Jeans</t>
        </is>
      </c>
      <c r="G305" s="33" t="inlineStr">
        <is>
          <t>Fashion</t>
        </is>
      </c>
      <c r="H305" s="35" t="n">
        <v>1</v>
      </c>
      <c r="I305" s="20" t="n">
        <v>2499</v>
      </c>
      <c r="J305" s="36" t="n">
        <v>0.15</v>
      </c>
      <c r="K305" s="20">
        <f>H305*I305</f>
        <v/>
      </c>
      <c r="L305" s="20">
        <f>K305*J305</f>
        <v/>
      </c>
      <c r="M305" s="20">
        <f>K305-L305</f>
        <v/>
      </c>
      <c r="N305" s="20" t="n">
        <v>1100</v>
      </c>
      <c r="O305" s="20">
        <f>M305-N305</f>
        <v/>
      </c>
      <c r="P305" s="21">
        <f>IFERROR(O305/M305, 0)</f>
        <v/>
      </c>
      <c r="Q305" s="33" t="inlineStr">
        <is>
          <t>Delivered</t>
        </is>
      </c>
    </row>
    <row r="306">
      <c r="A306" s="29" t="n">
        <v>160</v>
      </c>
      <c r="B306" s="29" t="inlineStr">
        <is>
          <t>2024-12-12</t>
        </is>
      </c>
      <c r="C306" s="30" t="inlineStr">
        <is>
          <t>Rhea Kulkarni</t>
        </is>
      </c>
      <c r="D306" s="29" t="inlineStr">
        <is>
          <t>North</t>
        </is>
      </c>
      <c r="E306" s="30" t="inlineStr">
        <is>
          <t>Jaipur</t>
        </is>
      </c>
      <c r="F306" s="30" t="inlineStr">
        <is>
          <t>Anti-Skid Yoga Mat 6mm</t>
        </is>
      </c>
      <c r="G306" s="29" t="inlineStr">
        <is>
          <t>Sports</t>
        </is>
      </c>
      <c r="H306" s="31" t="n">
        <v>1</v>
      </c>
      <c r="I306" s="16" t="n">
        <v>999</v>
      </c>
      <c r="J306" s="32" t="n">
        <v>0.15</v>
      </c>
      <c r="K306" s="16">
        <f>H306*I306</f>
        <v/>
      </c>
      <c r="L306" s="16">
        <f>K306*J306</f>
        <v/>
      </c>
      <c r="M306" s="16">
        <f>K306-L306</f>
        <v/>
      </c>
      <c r="N306" s="16" t="n">
        <v>480</v>
      </c>
      <c r="O306" s="16">
        <f>M306-N306</f>
        <v/>
      </c>
      <c r="P306" s="17">
        <f>IFERROR(O306/M306, 0)</f>
        <v/>
      </c>
      <c r="Q306" s="29" t="inlineStr">
        <is>
          <t>Delivered</t>
        </is>
      </c>
    </row>
    <row r="307">
      <c r="A307" s="33" t="n">
        <v>161</v>
      </c>
      <c r="B307" s="33" t="inlineStr">
        <is>
          <t>2025-03-29</t>
        </is>
      </c>
      <c r="C307" s="34" t="inlineStr">
        <is>
          <t>Deepika Nair</t>
        </is>
      </c>
      <c r="D307" s="33" t="inlineStr">
        <is>
          <t>West</t>
        </is>
      </c>
      <c r="E307" s="34" t="inlineStr">
        <is>
          <t>Nagpur</t>
        </is>
      </c>
      <c r="F307" s="34" t="inlineStr">
        <is>
          <t>Multipurpose Desk Organizer Set</t>
        </is>
      </c>
      <c r="G307" s="33" t="inlineStr">
        <is>
          <t>Home &amp; Living</t>
        </is>
      </c>
      <c r="H307" s="35" t="n">
        <v>1</v>
      </c>
      <c r="I307" s="20" t="n">
        <v>699</v>
      </c>
      <c r="J307" s="36" t="n">
        <v>0</v>
      </c>
      <c r="K307" s="20">
        <f>H307*I307</f>
        <v/>
      </c>
      <c r="L307" s="20">
        <f>K307*J307</f>
        <v/>
      </c>
      <c r="M307" s="20">
        <f>K307-L307</f>
        <v/>
      </c>
      <c r="N307" s="20" t="n">
        <v>290</v>
      </c>
      <c r="O307" s="20">
        <f>M307-N307</f>
        <v/>
      </c>
      <c r="P307" s="21">
        <f>IFERROR(O307/M307, 0)</f>
        <v/>
      </c>
      <c r="Q307" s="33" t="inlineStr">
        <is>
          <t>Processing</t>
        </is>
      </c>
    </row>
    <row r="308">
      <c r="A308" s="29" t="n">
        <v>161</v>
      </c>
      <c r="B308" s="29" t="inlineStr">
        <is>
          <t>2025-03-29</t>
        </is>
      </c>
      <c r="C308" s="30" t="inlineStr">
        <is>
          <t>Deepika Nair</t>
        </is>
      </c>
      <c r="D308" s="29" t="inlineStr">
        <is>
          <t>West</t>
        </is>
      </c>
      <c r="E308" s="30" t="inlineStr">
        <is>
          <t>Nagpur</t>
        </is>
      </c>
      <c r="F308" s="30" t="inlineStr">
        <is>
          <t>Women Floral Embroidered Kurti</t>
        </is>
      </c>
      <c r="G308" s="29" t="inlineStr">
        <is>
          <t>Fashion</t>
        </is>
      </c>
      <c r="H308" s="31" t="n">
        <v>2</v>
      </c>
      <c r="I308" s="16" t="n">
        <v>1899</v>
      </c>
      <c r="J308" s="32" t="n">
        <v>0</v>
      </c>
      <c r="K308" s="16">
        <f>H308*I308</f>
        <v/>
      </c>
      <c r="L308" s="16">
        <f>K308*J308</f>
        <v/>
      </c>
      <c r="M308" s="16">
        <f>K308-L308</f>
        <v/>
      </c>
      <c r="N308" s="16" t="n">
        <v>1600</v>
      </c>
      <c r="O308" s="16">
        <f>M308-N308</f>
        <v/>
      </c>
      <c r="P308" s="17">
        <f>IFERROR(O308/M308, 0)</f>
        <v/>
      </c>
      <c r="Q308" s="29" t="inlineStr">
        <is>
          <t>Processing</t>
        </is>
      </c>
    </row>
    <row r="309">
      <c r="A309" s="33" t="n">
        <v>161</v>
      </c>
      <c r="B309" s="33" t="inlineStr">
        <is>
          <t>2025-03-29</t>
        </is>
      </c>
      <c r="C309" s="34" t="inlineStr">
        <is>
          <t>Deepika Nair</t>
        </is>
      </c>
      <c r="D309" s="33" t="inlineStr">
        <is>
          <t>West</t>
        </is>
      </c>
      <c r="E309" s="34" t="inlineStr">
        <is>
          <t>Nagpur</t>
        </is>
      </c>
      <c r="F309" s="34" t="inlineStr">
        <is>
          <t>Adjustable Dumbbell Set 20kg</t>
        </is>
      </c>
      <c r="G309" s="33" t="inlineStr">
        <is>
          <t>Sports</t>
        </is>
      </c>
      <c r="H309" s="35" t="n">
        <v>1</v>
      </c>
      <c r="I309" s="20" t="n">
        <v>4299</v>
      </c>
      <c r="J309" s="36" t="n">
        <v>0.1</v>
      </c>
      <c r="K309" s="20">
        <f>H309*I309</f>
        <v/>
      </c>
      <c r="L309" s="20">
        <f>K309*J309</f>
        <v/>
      </c>
      <c r="M309" s="20">
        <f>K309-L309</f>
        <v/>
      </c>
      <c r="N309" s="20" t="n">
        <v>2600</v>
      </c>
      <c r="O309" s="20">
        <f>M309-N309</f>
        <v/>
      </c>
      <c r="P309" s="21">
        <f>IFERROR(O309/M309, 0)</f>
        <v/>
      </c>
      <c r="Q309" s="33" t="inlineStr">
        <is>
          <t>Processing</t>
        </is>
      </c>
    </row>
    <row r="310">
      <c r="A310" s="29" t="n">
        <v>161</v>
      </c>
      <c r="B310" s="29" t="inlineStr">
        <is>
          <t>2025-03-29</t>
        </is>
      </c>
      <c r="C310" s="30" t="inlineStr">
        <is>
          <t>Deepika Nair</t>
        </is>
      </c>
      <c r="D310" s="29" t="inlineStr">
        <is>
          <t>West</t>
        </is>
      </c>
      <c r="E310" s="30" t="inlineStr">
        <is>
          <t>Nagpur</t>
        </is>
      </c>
      <c r="F310" s="30" t="inlineStr">
        <is>
          <t>Stainless Steel Electric Kettle 1.8L</t>
        </is>
      </c>
      <c r="G310" s="29" t="inlineStr">
        <is>
          <t>Home &amp; Living</t>
        </is>
      </c>
      <c r="H310" s="31" t="n">
        <v>1</v>
      </c>
      <c r="I310" s="16" t="n">
        <v>1299</v>
      </c>
      <c r="J310" s="32" t="n">
        <v>0.05</v>
      </c>
      <c r="K310" s="16">
        <f>H310*I310</f>
        <v/>
      </c>
      <c r="L310" s="16">
        <f>K310*J310</f>
        <v/>
      </c>
      <c r="M310" s="16">
        <f>K310-L310</f>
        <v/>
      </c>
      <c r="N310" s="16" t="n">
        <v>720</v>
      </c>
      <c r="O310" s="16">
        <f>M310-N310</f>
        <v/>
      </c>
      <c r="P310" s="17">
        <f>IFERROR(O310/M310, 0)</f>
        <v/>
      </c>
      <c r="Q310" s="29" t="inlineStr">
        <is>
          <t>Processing</t>
        </is>
      </c>
    </row>
    <row r="311">
      <c r="A311" s="33" t="n">
        <v>162</v>
      </c>
      <c r="B311" s="33" t="inlineStr">
        <is>
          <t>2025-01-13</t>
        </is>
      </c>
      <c r="C311" s="34" t="inlineStr">
        <is>
          <t>Sunil Saxena</t>
        </is>
      </c>
      <c r="D311" s="33" t="inlineStr">
        <is>
          <t>East</t>
        </is>
      </c>
      <c r="E311" s="34" t="inlineStr">
        <is>
          <t>Guwahati</t>
        </is>
      </c>
      <c r="F311" s="34" t="inlineStr">
        <is>
          <t>Genuine Leather Bifold Wallet</t>
        </is>
      </c>
      <c r="G311" s="33" t="inlineStr">
        <is>
          <t>Fashion</t>
        </is>
      </c>
      <c r="H311" s="35" t="n">
        <v>4</v>
      </c>
      <c r="I311" s="20" t="n">
        <v>899</v>
      </c>
      <c r="J311" s="36" t="n">
        <v>0</v>
      </c>
      <c r="K311" s="20">
        <f>H311*I311</f>
        <v/>
      </c>
      <c r="L311" s="20">
        <f>K311*J311</f>
        <v/>
      </c>
      <c r="M311" s="20">
        <f>K311-L311</f>
        <v/>
      </c>
      <c r="N311" s="20" t="n">
        <v>1520</v>
      </c>
      <c r="O311" s="20">
        <f>M311-N311</f>
        <v/>
      </c>
      <c r="P311" s="21">
        <f>IFERROR(O311/M311, 0)</f>
        <v/>
      </c>
      <c r="Q311" s="33" t="inlineStr">
        <is>
          <t>Delivered</t>
        </is>
      </c>
    </row>
    <row r="312">
      <c r="A312" s="29" t="n">
        <v>162</v>
      </c>
      <c r="B312" s="29" t="inlineStr">
        <is>
          <t>2025-01-13</t>
        </is>
      </c>
      <c r="C312" s="30" t="inlineStr">
        <is>
          <t>Sunil Saxena</t>
        </is>
      </c>
      <c r="D312" s="29" t="inlineStr">
        <is>
          <t>East</t>
        </is>
      </c>
      <c r="E312" s="30" t="inlineStr">
        <is>
          <t>Guwahati</t>
        </is>
      </c>
      <c r="F312" s="30" t="inlineStr">
        <is>
          <t>Skipping Rope with Digital Counter</t>
        </is>
      </c>
      <c r="G312" s="29" t="inlineStr">
        <is>
          <t>Sports</t>
        </is>
      </c>
      <c r="H312" s="31" t="n">
        <v>2</v>
      </c>
      <c r="I312" s="16" t="n">
        <v>499</v>
      </c>
      <c r="J312" s="32" t="n">
        <v>0.12</v>
      </c>
      <c r="K312" s="16">
        <f>H312*I312</f>
        <v/>
      </c>
      <c r="L312" s="16">
        <f>K312*J312</f>
        <v/>
      </c>
      <c r="M312" s="16">
        <f>K312-L312</f>
        <v/>
      </c>
      <c r="N312" s="16" t="n">
        <v>420</v>
      </c>
      <c r="O312" s="16">
        <f>M312-N312</f>
        <v/>
      </c>
      <c r="P312" s="17">
        <f>IFERROR(O312/M312, 0)</f>
        <v/>
      </c>
      <c r="Q312" s="29" t="inlineStr">
        <is>
          <t>Delivered</t>
        </is>
      </c>
    </row>
    <row r="313">
      <c r="A313" s="33" t="n">
        <v>162</v>
      </c>
      <c r="B313" s="33" t="inlineStr">
        <is>
          <t>2025-01-13</t>
        </is>
      </c>
      <c r="C313" s="34" t="inlineStr">
        <is>
          <t>Sunil Saxena</t>
        </is>
      </c>
      <c r="D313" s="33" t="inlineStr">
        <is>
          <t>East</t>
        </is>
      </c>
      <c r="E313" s="34" t="inlineStr">
        <is>
          <t>Guwahati</t>
        </is>
      </c>
      <c r="F313" s="34" t="inlineStr">
        <is>
          <t>Orthopedic Memory Foam Pillow</t>
        </is>
      </c>
      <c r="G313" s="33" t="inlineStr">
        <is>
          <t>Home &amp; Living</t>
        </is>
      </c>
      <c r="H313" s="35" t="n">
        <v>1</v>
      </c>
      <c r="I313" s="20" t="n">
        <v>1799</v>
      </c>
      <c r="J313" s="36" t="n">
        <v>0.05</v>
      </c>
      <c r="K313" s="20">
        <f>H313*I313</f>
        <v/>
      </c>
      <c r="L313" s="20">
        <f>K313*J313</f>
        <v/>
      </c>
      <c r="M313" s="20">
        <f>K313-L313</f>
        <v/>
      </c>
      <c r="N313" s="20" t="n">
        <v>950</v>
      </c>
      <c r="O313" s="20">
        <f>M313-N313</f>
        <v/>
      </c>
      <c r="P313" s="21">
        <f>IFERROR(O313/M313, 0)</f>
        <v/>
      </c>
      <c r="Q313" s="33" t="inlineStr">
        <is>
          <t>Delivered</t>
        </is>
      </c>
    </row>
    <row r="314">
      <c r="A314" s="29" t="n">
        <v>163</v>
      </c>
      <c r="B314" s="29" t="inlineStr">
        <is>
          <t>2025-06-27</t>
        </is>
      </c>
      <c r="C314" s="30" t="inlineStr">
        <is>
          <t>Ishaan Sharma</t>
        </is>
      </c>
      <c r="D314" s="29" t="inlineStr">
        <is>
          <t>North</t>
        </is>
      </c>
      <c r="E314" s="30" t="inlineStr">
        <is>
          <t>Gurgaon</t>
        </is>
      </c>
      <c r="F314" s="30" t="inlineStr">
        <is>
          <t>Women Floral Embroidered Kurti</t>
        </is>
      </c>
      <c r="G314" s="29" t="inlineStr">
        <is>
          <t>Fashion</t>
        </is>
      </c>
      <c r="H314" s="31" t="n">
        <v>1</v>
      </c>
      <c r="I314" s="16" t="n">
        <v>1899</v>
      </c>
      <c r="J314" s="32" t="n">
        <v>0</v>
      </c>
      <c r="K314" s="16">
        <f>H314*I314</f>
        <v/>
      </c>
      <c r="L314" s="16">
        <f>K314*J314</f>
        <v/>
      </c>
      <c r="M314" s="16">
        <f>K314-L314</f>
        <v/>
      </c>
      <c r="N314" s="16" t="n">
        <v>800</v>
      </c>
      <c r="O314" s="16">
        <f>M314-N314</f>
        <v/>
      </c>
      <c r="P314" s="17">
        <f>IFERROR(O314/M314, 0)</f>
        <v/>
      </c>
      <c r="Q314" s="29" t="inlineStr">
        <is>
          <t>Delivered</t>
        </is>
      </c>
    </row>
    <row r="315">
      <c r="A315" s="33" t="n">
        <v>164</v>
      </c>
      <c r="B315" s="33" t="inlineStr">
        <is>
          <t>2025-05-16</t>
        </is>
      </c>
      <c r="C315" s="34" t="inlineStr">
        <is>
          <t>Vikram Reddy</t>
        </is>
      </c>
      <c r="D315" s="33" t="inlineStr">
        <is>
          <t>North</t>
        </is>
      </c>
      <c r="E315" s="34" t="inlineStr">
        <is>
          <t>Jaipur</t>
        </is>
      </c>
      <c r="F315" s="34" t="inlineStr">
        <is>
          <t>Women Floral Embroidered Kurti</t>
        </is>
      </c>
      <c r="G315" s="33" t="inlineStr">
        <is>
          <t>Fashion</t>
        </is>
      </c>
      <c r="H315" s="35" t="n">
        <v>2</v>
      </c>
      <c r="I315" s="20" t="n">
        <v>1899</v>
      </c>
      <c r="J315" s="36" t="n">
        <v>0.12</v>
      </c>
      <c r="K315" s="20">
        <f>H315*I315</f>
        <v/>
      </c>
      <c r="L315" s="20">
        <f>K315*J315</f>
        <v/>
      </c>
      <c r="M315" s="20">
        <f>K315-L315</f>
        <v/>
      </c>
      <c r="N315" s="20" t="n">
        <v>1600</v>
      </c>
      <c r="O315" s="20">
        <f>M315-N315</f>
        <v/>
      </c>
      <c r="P315" s="21">
        <f>IFERROR(O315/M315, 0)</f>
        <v/>
      </c>
      <c r="Q315" s="33" t="inlineStr">
        <is>
          <t>Cancelled</t>
        </is>
      </c>
    </row>
    <row r="316">
      <c r="A316" s="29" t="n">
        <v>164</v>
      </c>
      <c r="B316" s="29" t="inlineStr">
        <is>
          <t>2025-05-16</t>
        </is>
      </c>
      <c r="C316" s="30" t="inlineStr">
        <is>
          <t>Vikram Reddy</t>
        </is>
      </c>
      <c r="D316" s="29" t="inlineStr">
        <is>
          <t>North</t>
        </is>
      </c>
      <c r="E316" s="30" t="inlineStr">
        <is>
          <t>Jaipur</t>
        </is>
      </c>
      <c r="F316" s="30" t="inlineStr">
        <is>
          <t>Fast Charging Power Bank 20000mAh</t>
        </is>
      </c>
      <c r="G316" s="29" t="inlineStr">
        <is>
          <t>Electronics</t>
        </is>
      </c>
      <c r="H316" s="31" t="n">
        <v>2</v>
      </c>
      <c r="I316" s="16" t="n">
        <v>1899</v>
      </c>
      <c r="J316" s="32" t="n">
        <v>0</v>
      </c>
      <c r="K316" s="16">
        <f>H316*I316</f>
        <v/>
      </c>
      <c r="L316" s="16">
        <f>K316*J316</f>
        <v/>
      </c>
      <c r="M316" s="16">
        <f>K316-L316</f>
        <v/>
      </c>
      <c r="N316" s="16" t="n">
        <v>2300</v>
      </c>
      <c r="O316" s="16">
        <f>M316-N316</f>
        <v/>
      </c>
      <c r="P316" s="17">
        <f>IFERROR(O316/M316, 0)</f>
        <v/>
      </c>
      <c r="Q316" s="29" t="inlineStr">
        <is>
          <t>Cancelled</t>
        </is>
      </c>
    </row>
    <row r="317">
      <c r="A317" s="33" t="n">
        <v>165</v>
      </c>
      <c r="B317" s="33" t="inlineStr">
        <is>
          <t>2025-07-14</t>
        </is>
      </c>
      <c r="C317" s="34" t="inlineStr">
        <is>
          <t>Kiran Joshi</t>
        </is>
      </c>
      <c r="D317" s="33" t="inlineStr">
        <is>
          <t>Central</t>
        </is>
      </c>
      <c r="E317" s="34" t="inlineStr">
        <is>
          <t>Jabalpur</t>
        </is>
      </c>
      <c r="F317" s="34" t="inlineStr">
        <is>
          <t>Lightweight Running Sports Shoes</t>
        </is>
      </c>
      <c r="G317" s="33" t="inlineStr">
        <is>
          <t>Fashion</t>
        </is>
      </c>
      <c r="H317" s="35" t="n">
        <v>1</v>
      </c>
      <c r="I317" s="20" t="n">
        <v>3199</v>
      </c>
      <c r="J317" s="36" t="n">
        <v>0.1</v>
      </c>
      <c r="K317" s="20">
        <f>H317*I317</f>
        <v/>
      </c>
      <c r="L317" s="20">
        <f>K317*J317</f>
        <v/>
      </c>
      <c r="M317" s="20">
        <f>K317-L317</f>
        <v/>
      </c>
      <c r="N317" s="20" t="n">
        <v>1500</v>
      </c>
      <c r="O317" s="20">
        <f>M317-N317</f>
        <v/>
      </c>
      <c r="P317" s="21">
        <f>IFERROR(O317/M317, 0)</f>
        <v/>
      </c>
      <c r="Q317" s="33" t="inlineStr">
        <is>
          <t>Shipped</t>
        </is>
      </c>
    </row>
    <row r="318">
      <c r="A318" s="29" t="n">
        <v>165</v>
      </c>
      <c r="B318" s="29" t="inlineStr">
        <is>
          <t>2025-07-14</t>
        </is>
      </c>
      <c r="C318" s="30" t="inlineStr">
        <is>
          <t>Kiran Joshi</t>
        </is>
      </c>
      <c r="D318" s="29" t="inlineStr">
        <is>
          <t>Central</t>
        </is>
      </c>
      <c r="E318" s="30" t="inlineStr">
        <is>
          <t>Jabalpur</t>
        </is>
      </c>
      <c r="F318" s="30" t="inlineStr">
        <is>
          <t>Multipurpose Desk Organizer Set</t>
        </is>
      </c>
      <c r="G318" s="29" t="inlineStr">
        <is>
          <t>Home &amp; Living</t>
        </is>
      </c>
      <c r="H318" s="31" t="n">
        <v>1</v>
      </c>
      <c r="I318" s="16" t="n">
        <v>699</v>
      </c>
      <c r="J318" s="32" t="n">
        <v>0</v>
      </c>
      <c r="K318" s="16">
        <f>H318*I318</f>
        <v/>
      </c>
      <c r="L318" s="16">
        <f>K318*J318</f>
        <v/>
      </c>
      <c r="M318" s="16">
        <f>K318-L318</f>
        <v/>
      </c>
      <c r="N318" s="16" t="n">
        <v>290</v>
      </c>
      <c r="O318" s="16">
        <f>M318-N318</f>
        <v/>
      </c>
      <c r="P318" s="17">
        <f>IFERROR(O318/M318, 0)</f>
        <v/>
      </c>
      <c r="Q318" s="29" t="inlineStr">
        <is>
          <t>Shipped</t>
        </is>
      </c>
    </row>
    <row r="319">
      <c r="A319" s="33" t="n">
        <v>166</v>
      </c>
      <c r="B319" s="33" t="inlineStr">
        <is>
          <t>2025-08-26</t>
        </is>
      </c>
      <c r="C319" s="34" t="inlineStr">
        <is>
          <t>Rhea Rao</t>
        </is>
      </c>
      <c r="D319" s="33" t="inlineStr">
        <is>
          <t>Central</t>
        </is>
      </c>
      <c r="E319" s="34" t="inlineStr">
        <is>
          <t>Bhopal</t>
        </is>
      </c>
      <c r="F319" s="34" t="inlineStr">
        <is>
          <t>Lightweight Running Sports Shoes</t>
        </is>
      </c>
      <c r="G319" s="33" t="inlineStr">
        <is>
          <t>Fashion</t>
        </is>
      </c>
      <c r="H319" s="35" t="n">
        <v>1</v>
      </c>
      <c r="I319" s="20" t="n">
        <v>3199</v>
      </c>
      <c r="J319" s="36" t="n">
        <v>0.2</v>
      </c>
      <c r="K319" s="20">
        <f>H319*I319</f>
        <v/>
      </c>
      <c r="L319" s="20">
        <f>K319*J319</f>
        <v/>
      </c>
      <c r="M319" s="20">
        <f>K319-L319</f>
        <v/>
      </c>
      <c r="N319" s="20" t="n">
        <v>1500</v>
      </c>
      <c r="O319" s="20">
        <f>M319-N319</f>
        <v/>
      </c>
      <c r="P319" s="21">
        <f>IFERROR(O319/M319, 0)</f>
        <v/>
      </c>
      <c r="Q319" s="33" t="inlineStr">
        <is>
          <t>Delivered</t>
        </is>
      </c>
    </row>
    <row r="320">
      <c r="A320" s="29" t="n">
        <v>167</v>
      </c>
      <c r="B320" s="29" t="inlineStr">
        <is>
          <t>2025-10-11</t>
        </is>
      </c>
      <c r="C320" s="30" t="inlineStr">
        <is>
          <t>Swati Reddy</t>
        </is>
      </c>
      <c r="D320" s="29" t="inlineStr">
        <is>
          <t>West</t>
        </is>
      </c>
      <c r="E320" s="30" t="inlineStr">
        <is>
          <t>Mumbai</t>
        </is>
      </c>
      <c r="F320" s="30" t="inlineStr">
        <is>
          <t>Ultra HD Smart LED TV 55-inch</t>
        </is>
      </c>
      <c r="G320" s="29" t="inlineStr">
        <is>
          <t>Electronics</t>
        </is>
      </c>
      <c r="H320" s="31" t="n">
        <v>2</v>
      </c>
      <c r="I320" s="16" t="n">
        <v>42999</v>
      </c>
      <c r="J320" s="32" t="n">
        <v>0.1</v>
      </c>
      <c r="K320" s="16">
        <f>H320*I320</f>
        <v/>
      </c>
      <c r="L320" s="16">
        <f>K320*J320</f>
        <v/>
      </c>
      <c r="M320" s="16">
        <f>K320-L320</f>
        <v/>
      </c>
      <c r="N320" s="16" t="n">
        <v>62000</v>
      </c>
      <c r="O320" s="16">
        <f>M320-N320</f>
        <v/>
      </c>
      <c r="P320" s="17">
        <f>IFERROR(O320/M320, 0)</f>
        <v/>
      </c>
      <c r="Q320" s="29" t="inlineStr">
        <is>
          <t>Delivered</t>
        </is>
      </c>
    </row>
    <row r="321">
      <c r="A321" s="33" t="n">
        <v>168</v>
      </c>
      <c r="B321" s="33" t="inlineStr">
        <is>
          <t>2025-03-16</t>
        </is>
      </c>
      <c r="C321" s="34" t="inlineStr">
        <is>
          <t>Vikram Nair</t>
        </is>
      </c>
      <c r="D321" s="33" t="inlineStr">
        <is>
          <t>Central</t>
        </is>
      </c>
      <c r="E321" s="34" t="inlineStr">
        <is>
          <t>Raipur</t>
        </is>
      </c>
      <c r="F321" s="34" t="inlineStr">
        <is>
          <t>Stainless Steel Electric Kettle 1.8L</t>
        </is>
      </c>
      <c r="G321" s="33" t="inlineStr">
        <is>
          <t>Home &amp; Living</t>
        </is>
      </c>
      <c r="H321" s="35" t="n">
        <v>1</v>
      </c>
      <c r="I321" s="20" t="n">
        <v>1299</v>
      </c>
      <c r="J321" s="36" t="n">
        <v>0.1</v>
      </c>
      <c r="K321" s="20">
        <f>H321*I321</f>
        <v/>
      </c>
      <c r="L321" s="20">
        <f>K321*J321</f>
        <v/>
      </c>
      <c r="M321" s="20">
        <f>K321-L321</f>
        <v/>
      </c>
      <c r="N321" s="20" t="n">
        <v>720</v>
      </c>
      <c r="O321" s="20">
        <f>M321-N321</f>
        <v/>
      </c>
      <c r="P321" s="21">
        <f>IFERROR(O321/M321, 0)</f>
        <v/>
      </c>
      <c r="Q321" s="33" t="inlineStr">
        <is>
          <t>Processing</t>
        </is>
      </c>
    </row>
    <row r="322">
      <c r="A322" s="29" t="n">
        <v>169</v>
      </c>
      <c r="B322" s="29" t="inlineStr">
        <is>
          <t>2025-08-19</t>
        </is>
      </c>
      <c r="C322" s="30" t="inlineStr">
        <is>
          <t>Kavita Nair</t>
        </is>
      </c>
      <c r="D322" s="29" t="inlineStr">
        <is>
          <t>West</t>
        </is>
      </c>
      <c r="E322" s="30" t="inlineStr">
        <is>
          <t>Mumbai</t>
        </is>
      </c>
      <c r="F322" s="30" t="inlineStr">
        <is>
          <t>Cold-Pressed Extra Virgin Olive Oil 1L</t>
        </is>
      </c>
      <c r="G322" s="29" t="inlineStr">
        <is>
          <t>Groceries</t>
        </is>
      </c>
      <c r="H322" s="31" t="n">
        <v>1</v>
      </c>
      <c r="I322" s="16" t="n">
        <v>1199</v>
      </c>
      <c r="J322" s="32" t="n">
        <v>0.1</v>
      </c>
      <c r="K322" s="16">
        <f>H322*I322</f>
        <v/>
      </c>
      <c r="L322" s="16">
        <f>K322*J322</f>
        <v/>
      </c>
      <c r="M322" s="16">
        <f>K322-L322</f>
        <v/>
      </c>
      <c r="N322" s="16" t="n">
        <v>780</v>
      </c>
      <c r="O322" s="16">
        <f>M322-N322</f>
        <v/>
      </c>
      <c r="P322" s="17">
        <f>IFERROR(O322/M322, 0)</f>
        <v/>
      </c>
      <c r="Q322" s="29" t="inlineStr">
        <is>
          <t>Shipped</t>
        </is>
      </c>
    </row>
    <row r="323">
      <c r="A323" s="33" t="n">
        <v>170</v>
      </c>
      <c r="B323" s="33" t="inlineStr">
        <is>
          <t>2025-06-19</t>
        </is>
      </c>
      <c r="C323" s="34" t="inlineStr">
        <is>
          <t>Amit Mehta</t>
        </is>
      </c>
      <c r="D323" s="33" t="inlineStr">
        <is>
          <t>North</t>
        </is>
      </c>
      <c r="E323" s="34" t="inlineStr">
        <is>
          <t>Noida</t>
        </is>
      </c>
      <c r="F323" s="34" t="inlineStr">
        <is>
          <t>Pure Raw Honey 500g</t>
        </is>
      </c>
      <c r="G323" s="33" t="inlineStr">
        <is>
          <t>Groceries</t>
        </is>
      </c>
      <c r="H323" s="35" t="n">
        <v>2</v>
      </c>
      <c r="I323" s="20" t="n">
        <v>399</v>
      </c>
      <c r="J323" s="36" t="n">
        <v>0</v>
      </c>
      <c r="K323" s="20">
        <f>H323*I323</f>
        <v/>
      </c>
      <c r="L323" s="20">
        <f>K323*J323</f>
        <v/>
      </c>
      <c r="M323" s="20">
        <f>K323-L323</f>
        <v/>
      </c>
      <c r="N323" s="20" t="n">
        <v>420</v>
      </c>
      <c r="O323" s="20">
        <f>M323-N323</f>
        <v/>
      </c>
      <c r="P323" s="21">
        <f>IFERROR(O323/M323, 0)</f>
        <v/>
      </c>
      <c r="Q323" s="33" t="inlineStr">
        <is>
          <t>Cancelled</t>
        </is>
      </c>
    </row>
    <row r="324">
      <c r="A324" s="29" t="n">
        <v>170</v>
      </c>
      <c r="B324" s="29" t="inlineStr">
        <is>
          <t>2025-06-19</t>
        </is>
      </c>
      <c r="C324" s="30" t="inlineStr">
        <is>
          <t>Amit Mehta</t>
        </is>
      </c>
      <c r="D324" s="29" t="inlineStr">
        <is>
          <t>North</t>
        </is>
      </c>
      <c r="E324" s="30" t="inlineStr">
        <is>
          <t>Noida</t>
        </is>
      </c>
      <c r="F324" s="30" t="inlineStr">
        <is>
          <t>Adjustable Dumbbell Set 20kg</t>
        </is>
      </c>
      <c r="G324" s="29" t="inlineStr">
        <is>
          <t>Sports</t>
        </is>
      </c>
      <c r="H324" s="31" t="n">
        <v>4</v>
      </c>
      <c r="I324" s="16" t="n">
        <v>4299</v>
      </c>
      <c r="J324" s="32" t="n">
        <v>0.1</v>
      </c>
      <c r="K324" s="16">
        <f>H324*I324</f>
        <v/>
      </c>
      <c r="L324" s="16">
        <f>K324*J324</f>
        <v/>
      </c>
      <c r="M324" s="16">
        <f>K324-L324</f>
        <v/>
      </c>
      <c r="N324" s="16" t="n">
        <v>10400</v>
      </c>
      <c r="O324" s="16">
        <f>M324-N324</f>
        <v/>
      </c>
      <c r="P324" s="17">
        <f>IFERROR(O324/M324, 0)</f>
        <v/>
      </c>
      <c r="Q324" s="29" t="inlineStr">
        <is>
          <t>Cancelled</t>
        </is>
      </c>
    </row>
    <row r="325">
      <c r="A325" s="33" t="n">
        <v>171</v>
      </c>
      <c r="B325" s="33" t="inlineStr">
        <is>
          <t>2025-04-23</t>
        </is>
      </c>
      <c r="C325" s="34" t="inlineStr">
        <is>
          <t>Meera Bhat</t>
        </is>
      </c>
      <c r="D325" s="33" t="inlineStr">
        <is>
          <t>South</t>
        </is>
      </c>
      <c r="E325" s="34" t="inlineStr">
        <is>
          <t>Bengaluru</t>
        </is>
      </c>
      <c r="F325" s="34" t="inlineStr">
        <is>
          <t>Smart Fitness Watch Pro</t>
        </is>
      </c>
      <c r="G325" s="33" t="inlineStr">
        <is>
          <t>Electronics</t>
        </is>
      </c>
      <c r="H325" s="35" t="n">
        <v>1</v>
      </c>
      <c r="I325" s="20" t="n">
        <v>4999</v>
      </c>
      <c r="J325" s="36" t="n">
        <v>0.12</v>
      </c>
      <c r="K325" s="20">
        <f>H325*I325</f>
        <v/>
      </c>
      <c r="L325" s="20">
        <f>K325*J325</f>
        <v/>
      </c>
      <c r="M325" s="20">
        <f>K325-L325</f>
        <v/>
      </c>
      <c r="N325" s="20" t="n">
        <v>3200</v>
      </c>
      <c r="O325" s="20">
        <f>M325-N325</f>
        <v/>
      </c>
      <c r="P325" s="21">
        <f>IFERROR(O325/M325, 0)</f>
        <v/>
      </c>
      <c r="Q325" s="33" t="inlineStr">
        <is>
          <t>Shipped</t>
        </is>
      </c>
    </row>
    <row r="326">
      <c r="A326" s="29" t="n">
        <v>171</v>
      </c>
      <c r="B326" s="29" t="inlineStr">
        <is>
          <t>2025-04-23</t>
        </is>
      </c>
      <c r="C326" s="30" t="inlineStr">
        <is>
          <t>Meera Bhat</t>
        </is>
      </c>
      <c r="D326" s="29" t="inlineStr">
        <is>
          <t>South</t>
        </is>
      </c>
      <c r="E326" s="30" t="inlineStr">
        <is>
          <t>Bengaluru</t>
        </is>
      </c>
      <c r="F326" s="30" t="inlineStr">
        <is>
          <t>Men Slim-Fit Cotton Casual Shirt</t>
        </is>
      </c>
      <c r="G326" s="29" t="inlineStr">
        <is>
          <t>Fashion</t>
        </is>
      </c>
      <c r="H326" s="31" t="n">
        <v>1</v>
      </c>
      <c r="I326" s="16" t="n">
        <v>1499</v>
      </c>
      <c r="J326" s="32" t="n">
        <v>0</v>
      </c>
      <c r="K326" s="16">
        <f>H326*I326</f>
        <v/>
      </c>
      <c r="L326" s="16">
        <f>K326*J326</f>
        <v/>
      </c>
      <c r="M326" s="16">
        <f>K326-L326</f>
        <v/>
      </c>
      <c r="N326" s="16" t="n">
        <v>650</v>
      </c>
      <c r="O326" s="16">
        <f>M326-N326</f>
        <v/>
      </c>
      <c r="P326" s="17">
        <f>IFERROR(O326/M326, 0)</f>
        <v/>
      </c>
      <c r="Q326" s="29" t="inlineStr">
        <is>
          <t>Shipped</t>
        </is>
      </c>
    </row>
    <row r="327">
      <c r="A327" s="33" t="n">
        <v>171</v>
      </c>
      <c r="B327" s="33" t="inlineStr">
        <is>
          <t>2025-04-23</t>
        </is>
      </c>
      <c r="C327" s="34" t="inlineStr">
        <is>
          <t>Meera Bhat</t>
        </is>
      </c>
      <c r="D327" s="33" t="inlineStr">
        <is>
          <t>South</t>
        </is>
      </c>
      <c r="E327" s="34" t="inlineStr">
        <is>
          <t>Bengaluru</t>
        </is>
      </c>
      <c r="F327" s="34" t="inlineStr">
        <is>
          <t>Pure Raw Honey 500g</t>
        </is>
      </c>
      <c r="G327" s="33" t="inlineStr">
        <is>
          <t>Groceries</t>
        </is>
      </c>
      <c r="H327" s="35" t="n">
        <v>1</v>
      </c>
      <c r="I327" s="20" t="n">
        <v>399</v>
      </c>
      <c r="J327" s="36" t="n">
        <v>0.05</v>
      </c>
      <c r="K327" s="20">
        <f>H327*I327</f>
        <v/>
      </c>
      <c r="L327" s="20">
        <f>K327*J327</f>
        <v/>
      </c>
      <c r="M327" s="20">
        <f>K327-L327</f>
        <v/>
      </c>
      <c r="N327" s="20" t="n">
        <v>210</v>
      </c>
      <c r="O327" s="20">
        <f>M327-N327</f>
        <v/>
      </c>
      <c r="P327" s="21">
        <f>IFERROR(O327/M327, 0)</f>
        <v/>
      </c>
      <c r="Q327" s="33" t="inlineStr">
        <is>
          <t>Shipped</t>
        </is>
      </c>
    </row>
    <row r="328">
      <c r="A328" s="29" t="n">
        <v>172</v>
      </c>
      <c r="B328" s="29" t="inlineStr">
        <is>
          <t>2025-07-24</t>
        </is>
      </c>
      <c r="C328" s="30" t="inlineStr">
        <is>
          <t>Nikhil Deshmukh</t>
        </is>
      </c>
      <c r="D328" s="29" t="inlineStr">
        <is>
          <t>South</t>
        </is>
      </c>
      <c r="E328" s="30" t="inlineStr">
        <is>
          <t>Hyderabad</t>
        </is>
      </c>
      <c r="F328" s="30" t="inlineStr">
        <is>
          <t>Organic Green Tea 100 Bags</t>
        </is>
      </c>
      <c r="G328" s="29" t="inlineStr">
        <is>
          <t>Groceries</t>
        </is>
      </c>
      <c r="H328" s="31" t="n">
        <v>1</v>
      </c>
      <c r="I328" s="16" t="n">
        <v>450</v>
      </c>
      <c r="J328" s="32" t="n">
        <v>0.12</v>
      </c>
      <c r="K328" s="16">
        <f>H328*I328</f>
        <v/>
      </c>
      <c r="L328" s="16">
        <f>K328*J328</f>
        <v/>
      </c>
      <c r="M328" s="16">
        <f>K328-L328</f>
        <v/>
      </c>
      <c r="N328" s="16" t="n">
        <v>260</v>
      </c>
      <c r="O328" s="16">
        <f>M328-N328</f>
        <v/>
      </c>
      <c r="P328" s="17">
        <f>IFERROR(O328/M328, 0)</f>
        <v/>
      </c>
      <c r="Q328" s="29" t="inlineStr">
        <is>
          <t>Delivered</t>
        </is>
      </c>
    </row>
    <row r="329">
      <c r="A329" s="33" t="n">
        <v>173</v>
      </c>
      <c r="B329" s="33" t="inlineStr">
        <is>
          <t>2025-01-23</t>
        </is>
      </c>
      <c r="C329" s="34" t="inlineStr">
        <is>
          <t>Rhea Gupta</t>
        </is>
      </c>
      <c r="D329" s="33" t="inlineStr">
        <is>
          <t>West</t>
        </is>
      </c>
      <c r="E329" s="34" t="inlineStr">
        <is>
          <t>Surat</t>
        </is>
      </c>
      <c r="F329" s="34" t="inlineStr">
        <is>
          <t>Skipping Rope with Digital Counter</t>
        </is>
      </c>
      <c r="G329" s="33" t="inlineStr">
        <is>
          <t>Sports</t>
        </is>
      </c>
      <c r="H329" s="35" t="n">
        <v>1</v>
      </c>
      <c r="I329" s="20" t="n">
        <v>499</v>
      </c>
      <c r="J329" s="36" t="n">
        <v>0.12</v>
      </c>
      <c r="K329" s="20">
        <f>H329*I329</f>
        <v/>
      </c>
      <c r="L329" s="20">
        <f>K329*J329</f>
        <v/>
      </c>
      <c r="M329" s="20">
        <f>K329-L329</f>
        <v/>
      </c>
      <c r="N329" s="20" t="n">
        <v>210</v>
      </c>
      <c r="O329" s="20">
        <f>M329-N329</f>
        <v/>
      </c>
      <c r="P329" s="21">
        <f>IFERROR(O329/M329, 0)</f>
        <v/>
      </c>
      <c r="Q329" s="33" t="inlineStr">
        <is>
          <t>Delivered</t>
        </is>
      </c>
    </row>
    <row r="330">
      <c r="A330" s="29" t="n">
        <v>173</v>
      </c>
      <c r="B330" s="29" t="inlineStr">
        <is>
          <t>2025-01-23</t>
        </is>
      </c>
      <c r="C330" s="30" t="inlineStr">
        <is>
          <t>Rhea Gupta</t>
        </is>
      </c>
      <c r="D330" s="29" t="inlineStr">
        <is>
          <t>West</t>
        </is>
      </c>
      <c r="E330" s="30" t="inlineStr">
        <is>
          <t>Surat</t>
        </is>
      </c>
      <c r="F330" s="30" t="inlineStr">
        <is>
          <t>Lightweight Running Sports Shoes</t>
        </is>
      </c>
      <c r="G330" s="29" t="inlineStr">
        <is>
          <t>Fashion</t>
        </is>
      </c>
      <c r="H330" s="31" t="n">
        <v>1</v>
      </c>
      <c r="I330" s="16" t="n">
        <v>3199</v>
      </c>
      <c r="J330" s="32" t="n">
        <v>0.15</v>
      </c>
      <c r="K330" s="16">
        <f>H330*I330</f>
        <v/>
      </c>
      <c r="L330" s="16">
        <f>K330*J330</f>
        <v/>
      </c>
      <c r="M330" s="16">
        <f>K330-L330</f>
        <v/>
      </c>
      <c r="N330" s="16" t="n">
        <v>1500</v>
      </c>
      <c r="O330" s="16">
        <f>M330-N330</f>
        <v/>
      </c>
      <c r="P330" s="17">
        <f>IFERROR(O330/M330, 0)</f>
        <v/>
      </c>
      <c r="Q330" s="29" t="inlineStr">
        <is>
          <t>Delivered</t>
        </is>
      </c>
    </row>
    <row r="331">
      <c r="A331" s="33" t="n">
        <v>173</v>
      </c>
      <c r="B331" s="33" t="inlineStr">
        <is>
          <t>2025-01-23</t>
        </is>
      </c>
      <c r="C331" s="34" t="inlineStr">
        <is>
          <t>Rhea Gupta</t>
        </is>
      </c>
      <c r="D331" s="33" t="inlineStr">
        <is>
          <t>West</t>
        </is>
      </c>
      <c r="E331" s="34" t="inlineStr">
        <is>
          <t>Surat</t>
        </is>
      </c>
      <c r="F331" s="34" t="inlineStr">
        <is>
          <t>Premium California Almonds 500g</t>
        </is>
      </c>
      <c r="G331" s="33" t="inlineStr">
        <is>
          <t>Groceries</t>
        </is>
      </c>
      <c r="H331" s="35" t="n">
        <v>1</v>
      </c>
      <c r="I331" s="20" t="n">
        <v>599</v>
      </c>
      <c r="J331" s="36" t="n">
        <v>0.1</v>
      </c>
      <c r="K331" s="20">
        <f>H331*I331</f>
        <v/>
      </c>
      <c r="L331" s="20">
        <f>K331*J331</f>
        <v/>
      </c>
      <c r="M331" s="20">
        <f>K331-L331</f>
        <v/>
      </c>
      <c r="N331" s="20" t="n">
        <v>380</v>
      </c>
      <c r="O331" s="20">
        <f>M331-N331</f>
        <v/>
      </c>
      <c r="P331" s="21">
        <f>IFERROR(O331/M331, 0)</f>
        <v/>
      </c>
      <c r="Q331" s="33" t="inlineStr">
        <is>
          <t>Delivered</t>
        </is>
      </c>
    </row>
    <row r="332">
      <c r="A332" s="29" t="n">
        <v>173</v>
      </c>
      <c r="B332" s="29" t="inlineStr">
        <is>
          <t>2025-01-23</t>
        </is>
      </c>
      <c r="C332" s="30" t="inlineStr">
        <is>
          <t>Rhea Gupta</t>
        </is>
      </c>
      <c r="D332" s="29" t="inlineStr">
        <is>
          <t>West</t>
        </is>
      </c>
      <c r="E332" s="30" t="inlineStr">
        <is>
          <t>Surat</t>
        </is>
      </c>
      <c r="F332" s="30" t="inlineStr">
        <is>
          <t>Genuine Leather Bifold Wallet</t>
        </is>
      </c>
      <c r="G332" s="29" t="inlineStr">
        <is>
          <t>Fashion</t>
        </is>
      </c>
      <c r="H332" s="31" t="n">
        <v>2</v>
      </c>
      <c r="I332" s="16" t="n">
        <v>899</v>
      </c>
      <c r="J332" s="32" t="n">
        <v>0.05</v>
      </c>
      <c r="K332" s="16">
        <f>H332*I332</f>
        <v/>
      </c>
      <c r="L332" s="16">
        <f>K332*J332</f>
        <v/>
      </c>
      <c r="M332" s="16">
        <f>K332-L332</f>
        <v/>
      </c>
      <c r="N332" s="16" t="n">
        <v>760</v>
      </c>
      <c r="O332" s="16">
        <f>M332-N332</f>
        <v/>
      </c>
      <c r="P332" s="17">
        <f>IFERROR(O332/M332, 0)</f>
        <v/>
      </c>
      <c r="Q332" s="29" t="inlineStr">
        <is>
          <t>Delivered</t>
        </is>
      </c>
    </row>
    <row r="333">
      <c r="A333" s="33" t="n">
        <v>174</v>
      </c>
      <c r="B333" s="33" t="inlineStr">
        <is>
          <t>2025-10-11</t>
        </is>
      </c>
      <c r="C333" s="34" t="inlineStr">
        <is>
          <t>Shreya Kapoor</t>
        </is>
      </c>
      <c r="D333" s="33" t="inlineStr">
        <is>
          <t>East</t>
        </is>
      </c>
      <c r="E333" s="34" t="inlineStr">
        <is>
          <t>Bhubaneswar</t>
        </is>
      </c>
      <c r="F333" s="34" t="inlineStr">
        <is>
          <t>Premium California Almonds 500g</t>
        </is>
      </c>
      <c r="G333" s="33" t="inlineStr">
        <is>
          <t>Groceries</t>
        </is>
      </c>
      <c r="H333" s="35" t="n">
        <v>2</v>
      </c>
      <c r="I333" s="20" t="n">
        <v>599</v>
      </c>
      <c r="J333" s="36" t="n">
        <v>0.12</v>
      </c>
      <c r="K333" s="20">
        <f>H333*I333</f>
        <v/>
      </c>
      <c r="L333" s="20">
        <f>K333*J333</f>
        <v/>
      </c>
      <c r="M333" s="20">
        <f>K333-L333</f>
        <v/>
      </c>
      <c r="N333" s="20" t="n">
        <v>760</v>
      </c>
      <c r="O333" s="20">
        <f>M333-N333</f>
        <v/>
      </c>
      <c r="P333" s="21">
        <f>IFERROR(O333/M333, 0)</f>
        <v/>
      </c>
      <c r="Q333" s="33" t="inlineStr">
        <is>
          <t>Delivered</t>
        </is>
      </c>
    </row>
    <row r="334">
      <c r="A334" s="29" t="n">
        <v>174</v>
      </c>
      <c r="B334" s="29" t="inlineStr">
        <is>
          <t>2025-10-11</t>
        </is>
      </c>
      <c r="C334" s="30" t="inlineStr">
        <is>
          <t>Shreya Kapoor</t>
        </is>
      </c>
      <c r="D334" s="29" t="inlineStr">
        <is>
          <t>East</t>
        </is>
      </c>
      <c r="E334" s="30" t="inlineStr">
        <is>
          <t>Bhubaneswar</t>
        </is>
      </c>
      <c r="F334" s="30" t="inlineStr">
        <is>
          <t>Lightweight Running Sports Shoes</t>
        </is>
      </c>
      <c r="G334" s="29" t="inlineStr">
        <is>
          <t>Fashion</t>
        </is>
      </c>
      <c r="H334" s="31" t="n">
        <v>1</v>
      </c>
      <c r="I334" s="16" t="n">
        <v>3199</v>
      </c>
      <c r="J334" s="32" t="n">
        <v>0.15</v>
      </c>
      <c r="K334" s="16">
        <f>H334*I334</f>
        <v/>
      </c>
      <c r="L334" s="16">
        <f>K334*J334</f>
        <v/>
      </c>
      <c r="M334" s="16">
        <f>K334-L334</f>
        <v/>
      </c>
      <c r="N334" s="16" t="n">
        <v>1500</v>
      </c>
      <c r="O334" s="16">
        <f>M334-N334</f>
        <v/>
      </c>
      <c r="P334" s="17">
        <f>IFERROR(O334/M334, 0)</f>
        <v/>
      </c>
      <c r="Q334" s="29" t="inlineStr">
        <is>
          <t>Delivered</t>
        </is>
      </c>
    </row>
    <row r="335">
      <c r="A335" s="33" t="n">
        <v>174</v>
      </c>
      <c r="B335" s="33" t="inlineStr">
        <is>
          <t>2025-10-11</t>
        </is>
      </c>
      <c r="C335" s="34" t="inlineStr">
        <is>
          <t>Shreya Kapoor</t>
        </is>
      </c>
      <c r="D335" s="33" t="inlineStr">
        <is>
          <t>East</t>
        </is>
      </c>
      <c r="E335" s="34" t="inlineStr">
        <is>
          <t>Bhubaneswar</t>
        </is>
      </c>
      <c r="F335" s="34" t="inlineStr">
        <is>
          <t>Skipping Rope with Digital Counter</t>
        </is>
      </c>
      <c r="G335" s="33" t="inlineStr">
        <is>
          <t>Sports</t>
        </is>
      </c>
      <c r="H335" s="35" t="n">
        <v>2</v>
      </c>
      <c r="I335" s="20" t="n">
        <v>499</v>
      </c>
      <c r="J335" s="36" t="n">
        <v>0.2</v>
      </c>
      <c r="K335" s="20">
        <f>H335*I335</f>
        <v/>
      </c>
      <c r="L335" s="20">
        <f>K335*J335</f>
        <v/>
      </c>
      <c r="M335" s="20">
        <f>K335-L335</f>
        <v/>
      </c>
      <c r="N335" s="20" t="n">
        <v>420</v>
      </c>
      <c r="O335" s="20">
        <f>M335-N335</f>
        <v/>
      </c>
      <c r="P335" s="21">
        <f>IFERROR(O335/M335, 0)</f>
        <v/>
      </c>
      <c r="Q335" s="33" t="inlineStr">
        <is>
          <t>Delivered</t>
        </is>
      </c>
    </row>
    <row r="336">
      <c r="A336" s="29" t="n">
        <v>174</v>
      </c>
      <c r="B336" s="29" t="inlineStr">
        <is>
          <t>2025-10-11</t>
        </is>
      </c>
      <c r="C336" s="30" t="inlineStr">
        <is>
          <t>Shreya Kapoor</t>
        </is>
      </c>
      <c r="D336" s="29" t="inlineStr">
        <is>
          <t>East</t>
        </is>
      </c>
      <c r="E336" s="30" t="inlineStr">
        <is>
          <t>Bhubaneswar</t>
        </is>
      </c>
      <c r="F336" s="30" t="inlineStr">
        <is>
          <t>Insulated Stainless Steel Sipper Bottle</t>
        </is>
      </c>
      <c r="G336" s="29" t="inlineStr">
        <is>
          <t>Sports</t>
        </is>
      </c>
      <c r="H336" s="31" t="n">
        <v>1</v>
      </c>
      <c r="I336" s="16" t="n">
        <v>799</v>
      </c>
      <c r="J336" s="32" t="n">
        <v>0</v>
      </c>
      <c r="K336" s="16">
        <f>H336*I336</f>
        <v/>
      </c>
      <c r="L336" s="16">
        <f>K336*J336</f>
        <v/>
      </c>
      <c r="M336" s="16">
        <f>K336-L336</f>
        <v/>
      </c>
      <c r="N336" s="16" t="n">
        <v>390</v>
      </c>
      <c r="O336" s="16">
        <f>M336-N336</f>
        <v/>
      </c>
      <c r="P336" s="17">
        <f>IFERROR(O336/M336, 0)</f>
        <v/>
      </c>
      <c r="Q336" s="29" t="inlineStr">
        <is>
          <t>Delivered</t>
        </is>
      </c>
    </row>
    <row r="337">
      <c r="A337" s="33" t="n">
        <v>175</v>
      </c>
      <c r="B337" s="33" t="inlineStr">
        <is>
          <t>2024-11-27</t>
        </is>
      </c>
      <c r="C337" s="34" t="inlineStr">
        <is>
          <t>Rhea Choudhury</t>
        </is>
      </c>
      <c r="D337" s="33" t="inlineStr">
        <is>
          <t>East</t>
        </is>
      </c>
      <c r="E337" s="34" t="inlineStr">
        <is>
          <t>Patna</t>
        </is>
      </c>
      <c r="F337" s="34" t="inlineStr">
        <is>
          <t>Organic Green Tea 100 Bags</t>
        </is>
      </c>
      <c r="G337" s="33" t="inlineStr">
        <is>
          <t>Groceries</t>
        </is>
      </c>
      <c r="H337" s="35" t="n">
        <v>2</v>
      </c>
      <c r="I337" s="20" t="n">
        <v>450</v>
      </c>
      <c r="J337" s="36" t="n">
        <v>0.2</v>
      </c>
      <c r="K337" s="20">
        <f>H337*I337</f>
        <v/>
      </c>
      <c r="L337" s="20">
        <f>K337*J337</f>
        <v/>
      </c>
      <c r="M337" s="20">
        <f>K337-L337</f>
        <v/>
      </c>
      <c r="N337" s="20" t="n">
        <v>520</v>
      </c>
      <c r="O337" s="20">
        <f>M337-N337</f>
        <v/>
      </c>
      <c r="P337" s="21">
        <f>IFERROR(O337/M337, 0)</f>
        <v/>
      </c>
      <c r="Q337" s="33" t="inlineStr">
        <is>
          <t>Shipped</t>
        </is>
      </c>
    </row>
    <row r="338">
      <c r="A338" s="29" t="n">
        <v>175</v>
      </c>
      <c r="B338" s="29" t="inlineStr">
        <is>
          <t>2024-11-27</t>
        </is>
      </c>
      <c r="C338" s="30" t="inlineStr">
        <is>
          <t>Rhea Choudhury</t>
        </is>
      </c>
      <c r="D338" s="29" t="inlineStr">
        <is>
          <t>East</t>
        </is>
      </c>
      <c r="E338" s="30" t="inlineStr">
        <is>
          <t>Patna</t>
        </is>
      </c>
      <c r="F338" s="30" t="inlineStr">
        <is>
          <t>Anti-Skid Yoga Mat 6mm</t>
        </is>
      </c>
      <c r="G338" s="29" t="inlineStr">
        <is>
          <t>Sports</t>
        </is>
      </c>
      <c r="H338" s="31" t="n">
        <v>2</v>
      </c>
      <c r="I338" s="16" t="n">
        <v>999</v>
      </c>
      <c r="J338" s="32" t="n">
        <v>0</v>
      </c>
      <c r="K338" s="16">
        <f>H338*I338</f>
        <v/>
      </c>
      <c r="L338" s="16">
        <f>K338*J338</f>
        <v/>
      </c>
      <c r="M338" s="16">
        <f>K338-L338</f>
        <v/>
      </c>
      <c r="N338" s="16" t="n">
        <v>960</v>
      </c>
      <c r="O338" s="16">
        <f>M338-N338</f>
        <v/>
      </c>
      <c r="P338" s="17">
        <f>IFERROR(O338/M338, 0)</f>
        <v/>
      </c>
      <c r="Q338" s="29" t="inlineStr">
        <is>
          <t>Shipped</t>
        </is>
      </c>
    </row>
    <row r="339">
      <c r="A339" s="33" t="n">
        <v>176</v>
      </c>
      <c r="B339" s="33" t="inlineStr">
        <is>
          <t>2025-03-05</t>
        </is>
      </c>
      <c r="C339" s="34" t="inlineStr">
        <is>
          <t>Nikhil Joshi</t>
        </is>
      </c>
      <c r="D339" s="33" t="inlineStr">
        <is>
          <t>Central</t>
        </is>
      </c>
      <c r="E339" s="34" t="inlineStr">
        <is>
          <t>Gwalior</t>
        </is>
      </c>
      <c r="F339" s="34" t="inlineStr">
        <is>
          <t>Insulated Stainless Steel Sipper Bottle</t>
        </is>
      </c>
      <c r="G339" s="33" t="inlineStr">
        <is>
          <t>Sports</t>
        </is>
      </c>
      <c r="H339" s="35" t="n">
        <v>1</v>
      </c>
      <c r="I339" s="20" t="n">
        <v>799</v>
      </c>
      <c r="J339" s="36" t="n">
        <v>0.1</v>
      </c>
      <c r="K339" s="20">
        <f>H339*I339</f>
        <v/>
      </c>
      <c r="L339" s="20">
        <f>K339*J339</f>
        <v/>
      </c>
      <c r="M339" s="20">
        <f>K339-L339</f>
        <v/>
      </c>
      <c r="N339" s="20" t="n">
        <v>390</v>
      </c>
      <c r="O339" s="20">
        <f>M339-N339</f>
        <v/>
      </c>
      <c r="P339" s="21">
        <f>IFERROR(O339/M339, 0)</f>
        <v/>
      </c>
      <c r="Q339" s="33" t="inlineStr">
        <is>
          <t>Delivered</t>
        </is>
      </c>
    </row>
    <row r="340">
      <c r="A340" s="29" t="n">
        <v>176</v>
      </c>
      <c r="B340" s="29" t="inlineStr">
        <is>
          <t>2025-03-05</t>
        </is>
      </c>
      <c r="C340" s="30" t="inlineStr">
        <is>
          <t>Nikhil Joshi</t>
        </is>
      </c>
      <c r="D340" s="29" t="inlineStr">
        <is>
          <t>Central</t>
        </is>
      </c>
      <c r="E340" s="30" t="inlineStr">
        <is>
          <t>Gwalior</t>
        </is>
      </c>
      <c r="F340" s="30" t="inlineStr">
        <is>
          <t>Ergonomic Wireless Mouse</t>
        </is>
      </c>
      <c r="G340" s="29" t="inlineStr">
        <is>
          <t>Electronics</t>
        </is>
      </c>
      <c r="H340" s="31" t="n">
        <v>1</v>
      </c>
      <c r="I340" s="16" t="n">
        <v>1299</v>
      </c>
      <c r="J340" s="32" t="n">
        <v>0</v>
      </c>
      <c r="K340" s="16">
        <f>H340*I340</f>
        <v/>
      </c>
      <c r="L340" s="16">
        <f>K340*J340</f>
        <v/>
      </c>
      <c r="M340" s="16">
        <f>K340-L340</f>
        <v/>
      </c>
      <c r="N340" s="16" t="n">
        <v>750</v>
      </c>
      <c r="O340" s="16">
        <f>M340-N340</f>
        <v/>
      </c>
      <c r="P340" s="17">
        <f>IFERROR(O340/M340, 0)</f>
        <v/>
      </c>
      <c r="Q340" s="29" t="inlineStr">
        <is>
          <t>Delivered</t>
        </is>
      </c>
    </row>
    <row r="341">
      <c r="A341" s="33" t="n">
        <v>177</v>
      </c>
      <c r="B341" s="33" t="inlineStr">
        <is>
          <t>2025-02-13</t>
        </is>
      </c>
      <c r="C341" s="34" t="inlineStr">
        <is>
          <t>Simran Choudhury</t>
        </is>
      </c>
      <c r="D341" s="33" t="inlineStr">
        <is>
          <t>East</t>
        </is>
      </c>
      <c r="E341" s="34" t="inlineStr">
        <is>
          <t>Guwahati</t>
        </is>
      </c>
      <c r="F341" s="34" t="inlineStr">
        <is>
          <t>Pure Raw Honey 500g</t>
        </is>
      </c>
      <c r="G341" s="33" t="inlineStr">
        <is>
          <t>Groceries</t>
        </is>
      </c>
      <c r="H341" s="35" t="n">
        <v>3</v>
      </c>
      <c r="I341" s="20" t="n">
        <v>399</v>
      </c>
      <c r="J341" s="36" t="n">
        <v>0.15</v>
      </c>
      <c r="K341" s="20">
        <f>H341*I341</f>
        <v/>
      </c>
      <c r="L341" s="20">
        <f>K341*J341</f>
        <v/>
      </c>
      <c r="M341" s="20">
        <f>K341-L341</f>
        <v/>
      </c>
      <c r="N341" s="20" t="n">
        <v>630</v>
      </c>
      <c r="O341" s="20">
        <f>M341-N341</f>
        <v/>
      </c>
      <c r="P341" s="21">
        <f>IFERROR(O341/M341, 0)</f>
        <v/>
      </c>
      <c r="Q341" s="33" t="inlineStr">
        <is>
          <t>Delivered</t>
        </is>
      </c>
    </row>
    <row r="342">
      <c r="A342" s="29" t="n">
        <v>177</v>
      </c>
      <c r="B342" s="29" t="inlineStr">
        <is>
          <t>2025-02-13</t>
        </is>
      </c>
      <c r="C342" s="30" t="inlineStr">
        <is>
          <t>Simran Choudhury</t>
        </is>
      </c>
      <c r="D342" s="29" t="inlineStr">
        <is>
          <t>East</t>
        </is>
      </c>
      <c r="E342" s="30" t="inlineStr">
        <is>
          <t>Guwahati</t>
        </is>
      </c>
      <c r="F342" s="30" t="inlineStr">
        <is>
          <t>Multipurpose Desk Organizer Set</t>
        </is>
      </c>
      <c r="G342" s="29" t="inlineStr">
        <is>
          <t>Home &amp; Living</t>
        </is>
      </c>
      <c r="H342" s="31" t="n">
        <v>2</v>
      </c>
      <c r="I342" s="16" t="n">
        <v>699</v>
      </c>
      <c r="J342" s="32" t="n">
        <v>0.15</v>
      </c>
      <c r="K342" s="16">
        <f>H342*I342</f>
        <v/>
      </c>
      <c r="L342" s="16">
        <f>K342*J342</f>
        <v/>
      </c>
      <c r="M342" s="16">
        <f>K342-L342</f>
        <v/>
      </c>
      <c r="N342" s="16" t="n">
        <v>580</v>
      </c>
      <c r="O342" s="16">
        <f>M342-N342</f>
        <v/>
      </c>
      <c r="P342" s="17">
        <f>IFERROR(O342/M342, 0)</f>
        <v/>
      </c>
      <c r="Q342" s="29" t="inlineStr">
        <is>
          <t>Delivered</t>
        </is>
      </c>
    </row>
    <row r="343">
      <c r="A343" s="33" t="n">
        <v>178</v>
      </c>
      <c r="B343" s="33" t="inlineStr">
        <is>
          <t>2025-07-24</t>
        </is>
      </c>
      <c r="C343" s="34" t="inlineStr">
        <is>
          <t>Vikram Nair</t>
        </is>
      </c>
      <c r="D343" s="33" t="inlineStr">
        <is>
          <t>Central</t>
        </is>
      </c>
      <c r="E343" s="34" t="inlineStr">
        <is>
          <t>Raipur</t>
        </is>
      </c>
      <c r="F343" s="34" t="inlineStr">
        <is>
          <t>Adjustable Dumbbell Set 20kg</t>
        </is>
      </c>
      <c r="G343" s="33" t="inlineStr">
        <is>
          <t>Sports</t>
        </is>
      </c>
      <c r="H343" s="35" t="n">
        <v>1</v>
      </c>
      <c r="I343" s="20" t="n">
        <v>4299</v>
      </c>
      <c r="J343" s="36" t="n">
        <v>0.05</v>
      </c>
      <c r="K343" s="20">
        <f>H343*I343</f>
        <v/>
      </c>
      <c r="L343" s="20">
        <f>K343*J343</f>
        <v/>
      </c>
      <c r="M343" s="20">
        <f>K343-L343</f>
        <v/>
      </c>
      <c r="N343" s="20" t="n">
        <v>2600</v>
      </c>
      <c r="O343" s="20">
        <f>M343-N343</f>
        <v/>
      </c>
      <c r="P343" s="21">
        <f>IFERROR(O343/M343, 0)</f>
        <v/>
      </c>
      <c r="Q343" s="33" t="inlineStr">
        <is>
          <t>Delivered</t>
        </is>
      </c>
    </row>
    <row r="344">
      <c r="A344" s="29" t="n">
        <v>178</v>
      </c>
      <c r="B344" s="29" t="inlineStr">
        <is>
          <t>2025-07-24</t>
        </is>
      </c>
      <c r="C344" s="30" t="inlineStr">
        <is>
          <t>Vikram Nair</t>
        </is>
      </c>
      <c r="D344" s="29" t="inlineStr">
        <is>
          <t>Central</t>
        </is>
      </c>
      <c r="E344" s="30" t="inlineStr">
        <is>
          <t>Raipur</t>
        </is>
      </c>
      <c r="F344" s="30" t="inlineStr">
        <is>
          <t>Multipurpose Desk Organizer Set</t>
        </is>
      </c>
      <c r="G344" s="29" t="inlineStr">
        <is>
          <t>Home &amp; Living</t>
        </is>
      </c>
      <c r="H344" s="31" t="n">
        <v>4</v>
      </c>
      <c r="I344" s="16" t="n">
        <v>699</v>
      </c>
      <c r="J344" s="32" t="n">
        <v>0.1</v>
      </c>
      <c r="K344" s="16">
        <f>H344*I344</f>
        <v/>
      </c>
      <c r="L344" s="16">
        <f>K344*J344</f>
        <v/>
      </c>
      <c r="M344" s="16">
        <f>K344-L344</f>
        <v/>
      </c>
      <c r="N344" s="16" t="n">
        <v>1160</v>
      </c>
      <c r="O344" s="16">
        <f>M344-N344</f>
        <v/>
      </c>
      <c r="P344" s="17">
        <f>IFERROR(O344/M344, 0)</f>
        <v/>
      </c>
      <c r="Q344" s="29" t="inlineStr">
        <is>
          <t>Delivered</t>
        </is>
      </c>
    </row>
    <row r="345">
      <c r="A345" s="33" t="n">
        <v>179</v>
      </c>
      <c r="B345" s="33" t="inlineStr">
        <is>
          <t>2025-04-25</t>
        </is>
      </c>
      <c r="C345" s="34" t="inlineStr">
        <is>
          <t>Harsh Singh</t>
        </is>
      </c>
      <c r="D345" s="33" t="inlineStr">
        <is>
          <t>West</t>
        </is>
      </c>
      <c r="E345" s="34" t="inlineStr">
        <is>
          <t>Ahmedabad</t>
        </is>
      </c>
      <c r="F345" s="34" t="inlineStr">
        <is>
          <t>Skipping Rope with Digital Counter</t>
        </is>
      </c>
      <c r="G345" s="33" t="inlineStr">
        <is>
          <t>Sports</t>
        </is>
      </c>
      <c r="H345" s="35" t="n">
        <v>2</v>
      </c>
      <c r="I345" s="20" t="n">
        <v>499</v>
      </c>
      <c r="J345" s="36" t="n">
        <v>0.2</v>
      </c>
      <c r="K345" s="20">
        <f>H345*I345</f>
        <v/>
      </c>
      <c r="L345" s="20">
        <f>K345*J345</f>
        <v/>
      </c>
      <c r="M345" s="20">
        <f>K345-L345</f>
        <v/>
      </c>
      <c r="N345" s="20" t="n">
        <v>420</v>
      </c>
      <c r="O345" s="20">
        <f>M345-N345</f>
        <v/>
      </c>
      <c r="P345" s="21">
        <f>IFERROR(O345/M345, 0)</f>
        <v/>
      </c>
      <c r="Q345" s="33" t="inlineStr">
        <is>
          <t>Shipped</t>
        </is>
      </c>
    </row>
    <row r="346">
      <c r="A346" s="29" t="n">
        <v>180</v>
      </c>
      <c r="B346" s="29" t="inlineStr">
        <is>
          <t>2025-03-16</t>
        </is>
      </c>
      <c r="C346" s="30" t="inlineStr">
        <is>
          <t>Gaurav Malhotra</t>
        </is>
      </c>
      <c r="D346" s="29" t="inlineStr">
        <is>
          <t>South</t>
        </is>
      </c>
      <c r="E346" s="30" t="inlineStr">
        <is>
          <t>Hyderabad</t>
        </is>
      </c>
      <c r="F346" s="30" t="inlineStr">
        <is>
          <t>Women Floral Embroidered Kurti</t>
        </is>
      </c>
      <c r="G346" s="29" t="inlineStr">
        <is>
          <t>Fashion</t>
        </is>
      </c>
      <c r="H346" s="31" t="n">
        <v>1</v>
      </c>
      <c r="I346" s="16" t="n">
        <v>1899</v>
      </c>
      <c r="J346" s="32" t="n">
        <v>0</v>
      </c>
      <c r="K346" s="16">
        <f>H346*I346</f>
        <v/>
      </c>
      <c r="L346" s="16">
        <f>K346*J346</f>
        <v/>
      </c>
      <c r="M346" s="16">
        <f>K346-L346</f>
        <v/>
      </c>
      <c r="N346" s="16" t="n">
        <v>800</v>
      </c>
      <c r="O346" s="16">
        <f>M346-N346</f>
        <v/>
      </c>
      <c r="P346" s="17">
        <f>IFERROR(O346/M346, 0)</f>
        <v/>
      </c>
      <c r="Q346" s="29" t="inlineStr">
        <is>
          <t>Shipped</t>
        </is>
      </c>
    </row>
    <row r="347">
      <c r="A347" s="33" t="n">
        <v>180</v>
      </c>
      <c r="B347" s="33" t="inlineStr">
        <is>
          <t>2025-03-16</t>
        </is>
      </c>
      <c r="C347" s="34" t="inlineStr">
        <is>
          <t>Gaurav Malhotra</t>
        </is>
      </c>
      <c r="D347" s="33" t="inlineStr">
        <is>
          <t>South</t>
        </is>
      </c>
      <c r="E347" s="34" t="inlineStr">
        <is>
          <t>Hyderabad</t>
        </is>
      </c>
      <c r="F347" s="34" t="inlineStr">
        <is>
          <t>Unisex Classic Denim Jeans</t>
        </is>
      </c>
      <c r="G347" s="33" t="inlineStr">
        <is>
          <t>Fashion</t>
        </is>
      </c>
      <c r="H347" s="35" t="n">
        <v>3</v>
      </c>
      <c r="I347" s="20" t="n">
        <v>2499</v>
      </c>
      <c r="J347" s="36" t="n">
        <v>0.05</v>
      </c>
      <c r="K347" s="20">
        <f>H347*I347</f>
        <v/>
      </c>
      <c r="L347" s="20">
        <f>K347*J347</f>
        <v/>
      </c>
      <c r="M347" s="20">
        <f>K347-L347</f>
        <v/>
      </c>
      <c r="N347" s="20" t="n">
        <v>3300</v>
      </c>
      <c r="O347" s="20">
        <f>M347-N347</f>
        <v/>
      </c>
      <c r="P347" s="21">
        <f>IFERROR(O347/M347, 0)</f>
        <v/>
      </c>
      <c r="Q347" s="33" t="inlineStr">
        <is>
          <t>Shipped</t>
        </is>
      </c>
    </row>
    <row r="348">
      <c r="A348" s="29" t="n">
        <v>181</v>
      </c>
      <c r="B348" s="29" t="inlineStr">
        <is>
          <t>2025-02-15</t>
        </is>
      </c>
      <c r="C348" s="30" t="inlineStr">
        <is>
          <t>Alok Bhat</t>
        </is>
      </c>
      <c r="D348" s="29" t="inlineStr">
        <is>
          <t>North</t>
        </is>
      </c>
      <c r="E348" s="30" t="inlineStr">
        <is>
          <t>Noida</t>
        </is>
      </c>
      <c r="F348" s="30" t="inlineStr">
        <is>
          <t>Genuine Leather Bifold Wallet</t>
        </is>
      </c>
      <c r="G348" s="29" t="inlineStr">
        <is>
          <t>Fashion</t>
        </is>
      </c>
      <c r="H348" s="31" t="n">
        <v>1</v>
      </c>
      <c r="I348" s="16" t="n">
        <v>899</v>
      </c>
      <c r="J348" s="32" t="n">
        <v>0.2</v>
      </c>
      <c r="K348" s="16">
        <f>H348*I348</f>
        <v/>
      </c>
      <c r="L348" s="16">
        <f>K348*J348</f>
        <v/>
      </c>
      <c r="M348" s="16">
        <f>K348-L348</f>
        <v/>
      </c>
      <c r="N348" s="16" t="n">
        <v>380</v>
      </c>
      <c r="O348" s="16">
        <f>M348-N348</f>
        <v/>
      </c>
      <c r="P348" s="17">
        <f>IFERROR(O348/M348, 0)</f>
        <v/>
      </c>
      <c r="Q348" s="29" t="inlineStr">
        <is>
          <t>Processing</t>
        </is>
      </c>
    </row>
    <row r="349">
      <c r="A349" s="33" t="n">
        <v>181</v>
      </c>
      <c r="B349" s="33" t="inlineStr">
        <is>
          <t>2025-02-15</t>
        </is>
      </c>
      <c r="C349" s="34" t="inlineStr">
        <is>
          <t>Alok Bhat</t>
        </is>
      </c>
      <c r="D349" s="33" t="inlineStr">
        <is>
          <t>North</t>
        </is>
      </c>
      <c r="E349" s="34" t="inlineStr">
        <is>
          <t>Noida</t>
        </is>
      </c>
      <c r="F349" s="34" t="inlineStr">
        <is>
          <t>Multipurpose Desk Organizer Set</t>
        </is>
      </c>
      <c r="G349" s="33" t="inlineStr">
        <is>
          <t>Home &amp; Living</t>
        </is>
      </c>
      <c r="H349" s="35" t="n">
        <v>2</v>
      </c>
      <c r="I349" s="20" t="n">
        <v>699</v>
      </c>
      <c r="J349" s="36" t="n">
        <v>0.05</v>
      </c>
      <c r="K349" s="20">
        <f>H349*I349</f>
        <v/>
      </c>
      <c r="L349" s="20">
        <f>K349*J349</f>
        <v/>
      </c>
      <c r="M349" s="20">
        <f>K349-L349</f>
        <v/>
      </c>
      <c r="N349" s="20" t="n">
        <v>580</v>
      </c>
      <c r="O349" s="20">
        <f>M349-N349</f>
        <v/>
      </c>
      <c r="P349" s="21">
        <f>IFERROR(O349/M349, 0)</f>
        <v/>
      </c>
      <c r="Q349" s="33" t="inlineStr">
        <is>
          <t>Processing</t>
        </is>
      </c>
    </row>
    <row r="350">
      <c r="A350" s="29" t="n">
        <v>182</v>
      </c>
      <c r="B350" s="29" t="inlineStr">
        <is>
          <t>2025-08-21</t>
        </is>
      </c>
      <c r="C350" s="30" t="inlineStr">
        <is>
          <t>Meera Saxena</t>
        </is>
      </c>
      <c r="D350" s="29" t="inlineStr">
        <is>
          <t>South</t>
        </is>
      </c>
      <c r="E350" s="30" t="inlineStr">
        <is>
          <t>Hyderabad</t>
        </is>
      </c>
      <c r="F350" s="30" t="inlineStr">
        <is>
          <t>Stainless Steel Electric Kettle 1.8L</t>
        </is>
      </c>
      <c r="G350" s="29" t="inlineStr">
        <is>
          <t>Home &amp; Living</t>
        </is>
      </c>
      <c r="H350" s="31" t="n">
        <v>4</v>
      </c>
      <c r="I350" s="16" t="n">
        <v>1299</v>
      </c>
      <c r="J350" s="32" t="n">
        <v>0.2</v>
      </c>
      <c r="K350" s="16">
        <f>H350*I350</f>
        <v/>
      </c>
      <c r="L350" s="16">
        <f>K350*J350</f>
        <v/>
      </c>
      <c r="M350" s="16">
        <f>K350-L350</f>
        <v/>
      </c>
      <c r="N350" s="16" t="n">
        <v>2880</v>
      </c>
      <c r="O350" s="16">
        <f>M350-N350</f>
        <v/>
      </c>
      <c r="P350" s="17">
        <f>IFERROR(O350/M350, 0)</f>
        <v/>
      </c>
      <c r="Q350" s="29" t="inlineStr">
        <is>
          <t>Processing</t>
        </is>
      </c>
    </row>
    <row r="351">
      <c r="A351" s="33" t="n">
        <v>182</v>
      </c>
      <c r="B351" s="33" t="inlineStr">
        <is>
          <t>2025-08-21</t>
        </is>
      </c>
      <c r="C351" s="34" t="inlineStr">
        <is>
          <t>Meera Saxena</t>
        </is>
      </c>
      <c r="D351" s="33" t="inlineStr">
        <is>
          <t>South</t>
        </is>
      </c>
      <c r="E351" s="34" t="inlineStr">
        <is>
          <t>Hyderabad</t>
        </is>
      </c>
      <c r="F351" s="34" t="inlineStr">
        <is>
          <t>Orthopedic Memory Foam Pillow</t>
        </is>
      </c>
      <c r="G351" s="33" t="inlineStr">
        <is>
          <t>Home &amp; Living</t>
        </is>
      </c>
      <c r="H351" s="35" t="n">
        <v>1</v>
      </c>
      <c r="I351" s="20" t="n">
        <v>1799</v>
      </c>
      <c r="J351" s="36" t="n">
        <v>0</v>
      </c>
      <c r="K351" s="20">
        <f>H351*I351</f>
        <v/>
      </c>
      <c r="L351" s="20">
        <f>K351*J351</f>
        <v/>
      </c>
      <c r="M351" s="20">
        <f>K351-L351</f>
        <v/>
      </c>
      <c r="N351" s="20" t="n">
        <v>950</v>
      </c>
      <c r="O351" s="20">
        <f>M351-N351</f>
        <v/>
      </c>
      <c r="P351" s="21">
        <f>IFERROR(O351/M351, 0)</f>
        <v/>
      </c>
      <c r="Q351" s="33" t="inlineStr">
        <is>
          <t>Processing</t>
        </is>
      </c>
    </row>
    <row r="352">
      <c r="A352" s="29" t="n">
        <v>183</v>
      </c>
      <c r="B352" s="29" t="inlineStr">
        <is>
          <t>2024-12-11</t>
        </is>
      </c>
      <c r="C352" s="30" t="inlineStr">
        <is>
          <t>Alok Bhat</t>
        </is>
      </c>
      <c r="D352" s="29" t="inlineStr">
        <is>
          <t>North</t>
        </is>
      </c>
      <c r="E352" s="30" t="inlineStr">
        <is>
          <t>Noida</t>
        </is>
      </c>
      <c r="F352" s="30" t="inlineStr">
        <is>
          <t>Anti-Skid Yoga Mat 6mm</t>
        </is>
      </c>
      <c r="G352" s="29" t="inlineStr">
        <is>
          <t>Sports</t>
        </is>
      </c>
      <c r="H352" s="31" t="n">
        <v>1</v>
      </c>
      <c r="I352" s="16" t="n">
        <v>999</v>
      </c>
      <c r="J352" s="32" t="n">
        <v>0</v>
      </c>
      <c r="K352" s="16">
        <f>H352*I352</f>
        <v/>
      </c>
      <c r="L352" s="16">
        <f>K352*J352</f>
        <v/>
      </c>
      <c r="M352" s="16">
        <f>K352-L352</f>
        <v/>
      </c>
      <c r="N352" s="16" t="n">
        <v>480</v>
      </c>
      <c r="O352" s="16">
        <f>M352-N352</f>
        <v/>
      </c>
      <c r="P352" s="17">
        <f>IFERROR(O352/M352, 0)</f>
        <v/>
      </c>
      <c r="Q352" s="29" t="inlineStr">
        <is>
          <t>Delivered</t>
        </is>
      </c>
    </row>
    <row r="353">
      <c r="A353" s="33" t="n">
        <v>183</v>
      </c>
      <c r="B353" s="33" t="inlineStr">
        <is>
          <t>2024-12-11</t>
        </is>
      </c>
      <c r="C353" s="34" t="inlineStr">
        <is>
          <t>Alok Bhat</t>
        </is>
      </c>
      <c r="D353" s="33" t="inlineStr">
        <is>
          <t>North</t>
        </is>
      </c>
      <c r="E353" s="34" t="inlineStr">
        <is>
          <t>Noida</t>
        </is>
      </c>
      <c r="F353" s="34" t="inlineStr">
        <is>
          <t>Unisex Classic Denim Jeans</t>
        </is>
      </c>
      <c r="G353" s="33" t="inlineStr">
        <is>
          <t>Fashion</t>
        </is>
      </c>
      <c r="H353" s="35" t="n">
        <v>2</v>
      </c>
      <c r="I353" s="20" t="n">
        <v>2499</v>
      </c>
      <c r="J353" s="36" t="n">
        <v>0.05</v>
      </c>
      <c r="K353" s="20">
        <f>H353*I353</f>
        <v/>
      </c>
      <c r="L353" s="20">
        <f>K353*J353</f>
        <v/>
      </c>
      <c r="M353" s="20">
        <f>K353-L353</f>
        <v/>
      </c>
      <c r="N353" s="20" t="n">
        <v>2200</v>
      </c>
      <c r="O353" s="20">
        <f>M353-N353</f>
        <v/>
      </c>
      <c r="P353" s="21">
        <f>IFERROR(O353/M353, 0)</f>
        <v/>
      </c>
      <c r="Q353" s="33" t="inlineStr">
        <is>
          <t>Delivered</t>
        </is>
      </c>
    </row>
    <row r="354">
      <c r="A354" s="29" t="n">
        <v>183</v>
      </c>
      <c r="B354" s="29" t="inlineStr">
        <is>
          <t>2024-12-11</t>
        </is>
      </c>
      <c r="C354" s="30" t="inlineStr">
        <is>
          <t>Alok Bhat</t>
        </is>
      </c>
      <c r="D354" s="29" t="inlineStr">
        <is>
          <t>North</t>
        </is>
      </c>
      <c r="E354" s="30" t="inlineStr">
        <is>
          <t>Noida</t>
        </is>
      </c>
      <c r="F354" s="30" t="inlineStr">
        <is>
          <t>Skipping Rope with Digital Counter</t>
        </is>
      </c>
      <c r="G354" s="29" t="inlineStr">
        <is>
          <t>Sports</t>
        </is>
      </c>
      <c r="H354" s="31" t="n">
        <v>3</v>
      </c>
      <c r="I354" s="16" t="n">
        <v>499</v>
      </c>
      <c r="J354" s="32" t="n">
        <v>0.15</v>
      </c>
      <c r="K354" s="16">
        <f>H354*I354</f>
        <v/>
      </c>
      <c r="L354" s="16">
        <f>K354*J354</f>
        <v/>
      </c>
      <c r="M354" s="16">
        <f>K354-L354</f>
        <v/>
      </c>
      <c r="N354" s="16" t="n">
        <v>630</v>
      </c>
      <c r="O354" s="16">
        <f>M354-N354</f>
        <v/>
      </c>
      <c r="P354" s="17">
        <f>IFERROR(O354/M354, 0)</f>
        <v/>
      </c>
      <c r="Q354" s="29" t="inlineStr">
        <is>
          <t>Delivered</t>
        </is>
      </c>
    </row>
    <row r="355">
      <c r="A355" s="33" t="n">
        <v>184</v>
      </c>
      <c r="B355" s="33" t="inlineStr">
        <is>
          <t>2025-01-10</t>
        </is>
      </c>
      <c r="C355" s="34" t="inlineStr">
        <is>
          <t>Alok Kulkarni</t>
        </is>
      </c>
      <c r="D355" s="33" t="inlineStr">
        <is>
          <t>East</t>
        </is>
      </c>
      <c r="E355" s="34" t="inlineStr">
        <is>
          <t>Bhubaneswar</t>
        </is>
      </c>
      <c r="F355" s="34" t="inlineStr">
        <is>
          <t>Premium California Almonds 500g</t>
        </is>
      </c>
      <c r="G355" s="33" t="inlineStr">
        <is>
          <t>Groceries</t>
        </is>
      </c>
      <c r="H355" s="35" t="n">
        <v>1</v>
      </c>
      <c r="I355" s="20" t="n">
        <v>599</v>
      </c>
      <c r="J355" s="36" t="n">
        <v>0.15</v>
      </c>
      <c r="K355" s="20">
        <f>H355*I355</f>
        <v/>
      </c>
      <c r="L355" s="20">
        <f>K355*J355</f>
        <v/>
      </c>
      <c r="M355" s="20">
        <f>K355-L355</f>
        <v/>
      </c>
      <c r="N355" s="20" t="n">
        <v>380</v>
      </c>
      <c r="O355" s="20">
        <f>M355-N355</f>
        <v/>
      </c>
      <c r="P355" s="21">
        <f>IFERROR(O355/M355, 0)</f>
        <v/>
      </c>
      <c r="Q355" s="33" t="inlineStr">
        <is>
          <t>Delivered</t>
        </is>
      </c>
    </row>
    <row r="356">
      <c r="A356" s="29" t="n">
        <v>184</v>
      </c>
      <c r="B356" s="29" t="inlineStr">
        <is>
          <t>2025-01-10</t>
        </is>
      </c>
      <c r="C356" s="30" t="inlineStr">
        <is>
          <t>Alok Kulkarni</t>
        </is>
      </c>
      <c r="D356" s="29" t="inlineStr">
        <is>
          <t>East</t>
        </is>
      </c>
      <c r="E356" s="30" t="inlineStr">
        <is>
          <t>Bhubaneswar</t>
        </is>
      </c>
      <c r="F356" s="30" t="inlineStr">
        <is>
          <t>Women Floral Embroidered Kurti</t>
        </is>
      </c>
      <c r="G356" s="29" t="inlineStr">
        <is>
          <t>Fashion</t>
        </is>
      </c>
      <c r="H356" s="31" t="n">
        <v>3</v>
      </c>
      <c r="I356" s="16" t="n">
        <v>1899</v>
      </c>
      <c r="J356" s="32" t="n">
        <v>0</v>
      </c>
      <c r="K356" s="16">
        <f>H356*I356</f>
        <v/>
      </c>
      <c r="L356" s="16">
        <f>K356*J356</f>
        <v/>
      </c>
      <c r="M356" s="16">
        <f>K356-L356</f>
        <v/>
      </c>
      <c r="N356" s="16" t="n">
        <v>2400</v>
      </c>
      <c r="O356" s="16">
        <f>M356-N356</f>
        <v/>
      </c>
      <c r="P356" s="17">
        <f>IFERROR(O356/M356, 0)</f>
        <v/>
      </c>
      <c r="Q356" s="29" t="inlineStr">
        <is>
          <t>Delivered</t>
        </is>
      </c>
    </row>
    <row r="357">
      <c r="A357" s="33" t="n">
        <v>185</v>
      </c>
      <c r="B357" s="33" t="inlineStr">
        <is>
          <t>2025-02-28</t>
        </is>
      </c>
      <c r="C357" s="34" t="inlineStr">
        <is>
          <t>Manoj Nair</t>
        </is>
      </c>
      <c r="D357" s="33" t="inlineStr">
        <is>
          <t>East</t>
        </is>
      </c>
      <c r="E357" s="34" t="inlineStr">
        <is>
          <t>Patna</t>
        </is>
      </c>
      <c r="F357" s="34" t="inlineStr">
        <is>
          <t>Genuine Leather Bifold Wallet</t>
        </is>
      </c>
      <c r="G357" s="33" t="inlineStr">
        <is>
          <t>Fashion</t>
        </is>
      </c>
      <c r="H357" s="35" t="n">
        <v>2</v>
      </c>
      <c r="I357" s="20" t="n">
        <v>899</v>
      </c>
      <c r="J357" s="36" t="n">
        <v>0</v>
      </c>
      <c r="K357" s="20">
        <f>H357*I357</f>
        <v/>
      </c>
      <c r="L357" s="20">
        <f>K357*J357</f>
        <v/>
      </c>
      <c r="M357" s="20">
        <f>K357-L357</f>
        <v/>
      </c>
      <c r="N357" s="20" t="n">
        <v>760</v>
      </c>
      <c r="O357" s="20">
        <f>M357-N357</f>
        <v/>
      </c>
      <c r="P357" s="21">
        <f>IFERROR(O357/M357, 0)</f>
        <v/>
      </c>
      <c r="Q357" s="33" t="inlineStr">
        <is>
          <t>Delivered</t>
        </is>
      </c>
    </row>
    <row r="358">
      <c r="A358" s="29" t="n">
        <v>186</v>
      </c>
      <c r="B358" s="29" t="inlineStr">
        <is>
          <t>2025-01-10</t>
        </is>
      </c>
      <c r="C358" s="30" t="inlineStr">
        <is>
          <t>Nikhil Joshi</t>
        </is>
      </c>
      <c r="D358" s="29" t="inlineStr">
        <is>
          <t>Central</t>
        </is>
      </c>
      <c r="E358" s="30" t="inlineStr">
        <is>
          <t>Gwalior</t>
        </is>
      </c>
      <c r="F358" s="30" t="inlineStr">
        <is>
          <t>Fast Charging Power Bank 20000mAh</t>
        </is>
      </c>
      <c r="G358" s="29" t="inlineStr">
        <is>
          <t>Electronics</t>
        </is>
      </c>
      <c r="H358" s="31" t="n">
        <v>1</v>
      </c>
      <c r="I358" s="16" t="n">
        <v>1899</v>
      </c>
      <c r="J358" s="32" t="n">
        <v>0</v>
      </c>
      <c r="K358" s="16">
        <f>H358*I358</f>
        <v/>
      </c>
      <c r="L358" s="16">
        <f>K358*J358</f>
        <v/>
      </c>
      <c r="M358" s="16">
        <f>K358-L358</f>
        <v/>
      </c>
      <c r="N358" s="16" t="n">
        <v>1150</v>
      </c>
      <c r="O358" s="16">
        <f>M358-N358</f>
        <v/>
      </c>
      <c r="P358" s="17">
        <f>IFERROR(O358/M358, 0)</f>
        <v/>
      </c>
      <c r="Q358" s="29" t="inlineStr">
        <is>
          <t>Delivered</t>
        </is>
      </c>
    </row>
    <row r="359">
      <c r="A359" s="33" t="n">
        <v>186</v>
      </c>
      <c r="B359" s="33" t="inlineStr">
        <is>
          <t>2025-01-10</t>
        </is>
      </c>
      <c r="C359" s="34" t="inlineStr">
        <is>
          <t>Nikhil Joshi</t>
        </is>
      </c>
      <c r="D359" s="33" t="inlineStr">
        <is>
          <t>Central</t>
        </is>
      </c>
      <c r="E359" s="34" t="inlineStr">
        <is>
          <t>Gwalior</t>
        </is>
      </c>
      <c r="F359" s="34" t="inlineStr">
        <is>
          <t>Double Bed Pure Cotton Bedsheet</t>
        </is>
      </c>
      <c r="G359" s="33" t="inlineStr">
        <is>
          <t>Home &amp; Living</t>
        </is>
      </c>
      <c r="H359" s="35" t="n">
        <v>2</v>
      </c>
      <c r="I359" s="20" t="n">
        <v>1599</v>
      </c>
      <c r="J359" s="36" t="n">
        <v>0.05</v>
      </c>
      <c r="K359" s="20">
        <f>H359*I359</f>
        <v/>
      </c>
      <c r="L359" s="20">
        <f>K359*J359</f>
        <v/>
      </c>
      <c r="M359" s="20">
        <f>K359-L359</f>
        <v/>
      </c>
      <c r="N359" s="20" t="n">
        <v>1560</v>
      </c>
      <c r="O359" s="20">
        <f>M359-N359</f>
        <v/>
      </c>
      <c r="P359" s="21">
        <f>IFERROR(O359/M359, 0)</f>
        <v/>
      </c>
      <c r="Q359" s="33" t="inlineStr">
        <is>
          <t>Delivered</t>
        </is>
      </c>
    </row>
    <row r="360">
      <c r="A360" s="29" t="n">
        <v>186</v>
      </c>
      <c r="B360" s="29" t="inlineStr">
        <is>
          <t>2025-01-10</t>
        </is>
      </c>
      <c r="C360" s="30" t="inlineStr">
        <is>
          <t>Nikhil Joshi</t>
        </is>
      </c>
      <c r="D360" s="29" t="inlineStr">
        <is>
          <t>Central</t>
        </is>
      </c>
      <c r="E360" s="30" t="inlineStr">
        <is>
          <t>Gwalior</t>
        </is>
      </c>
      <c r="F360" s="30" t="inlineStr">
        <is>
          <t>Anti-Skid Yoga Mat 6mm</t>
        </is>
      </c>
      <c r="G360" s="29" t="inlineStr">
        <is>
          <t>Sports</t>
        </is>
      </c>
      <c r="H360" s="31" t="n">
        <v>1</v>
      </c>
      <c r="I360" s="16" t="n">
        <v>999</v>
      </c>
      <c r="J360" s="32" t="n">
        <v>0.15</v>
      </c>
      <c r="K360" s="16">
        <f>H360*I360</f>
        <v/>
      </c>
      <c r="L360" s="16">
        <f>K360*J360</f>
        <v/>
      </c>
      <c r="M360" s="16">
        <f>K360-L360</f>
        <v/>
      </c>
      <c r="N360" s="16" t="n">
        <v>480</v>
      </c>
      <c r="O360" s="16">
        <f>M360-N360</f>
        <v/>
      </c>
      <c r="P360" s="17">
        <f>IFERROR(O360/M360, 0)</f>
        <v/>
      </c>
      <c r="Q360" s="29" t="inlineStr">
        <is>
          <t>Delivered</t>
        </is>
      </c>
    </row>
    <row r="361">
      <c r="A361" s="33" t="n">
        <v>186</v>
      </c>
      <c r="B361" s="33" t="inlineStr">
        <is>
          <t>2025-01-10</t>
        </is>
      </c>
      <c r="C361" s="34" t="inlineStr">
        <is>
          <t>Nikhil Joshi</t>
        </is>
      </c>
      <c r="D361" s="33" t="inlineStr">
        <is>
          <t>Central</t>
        </is>
      </c>
      <c r="E361" s="34" t="inlineStr">
        <is>
          <t>Gwalior</t>
        </is>
      </c>
      <c r="F361" s="34" t="inlineStr">
        <is>
          <t>Multipurpose Desk Organizer Set</t>
        </is>
      </c>
      <c r="G361" s="33" t="inlineStr">
        <is>
          <t>Home &amp; Living</t>
        </is>
      </c>
      <c r="H361" s="35" t="n">
        <v>1</v>
      </c>
      <c r="I361" s="20" t="n">
        <v>699</v>
      </c>
      <c r="J361" s="36" t="n">
        <v>0.2</v>
      </c>
      <c r="K361" s="20">
        <f>H361*I361</f>
        <v/>
      </c>
      <c r="L361" s="20">
        <f>K361*J361</f>
        <v/>
      </c>
      <c r="M361" s="20">
        <f>K361-L361</f>
        <v/>
      </c>
      <c r="N361" s="20" t="n">
        <v>290</v>
      </c>
      <c r="O361" s="20">
        <f>M361-N361</f>
        <v/>
      </c>
      <c r="P361" s="21">
        <f>IFERROR(O361/M361, 0)</f>
        <v/>
      </c>
      <c r="Q361" s="33" t="inlineStr">
        <is>
          <t>Delivered</t>
        </is>
      </c>
    </row>
    <row r="362">
      <c r="A362" s="29" t="n">
        <v>187</v>
      </c>
      <c r="B362" s="29" t="inlineStr">
        <is>
          <t>2025-09-30</t>
        </is>
      </c>
      <c r="C362" s="30" t="inlineStr">
        <is>
          <t>Aditya Verma</t>
        </is>
      </c>
      <c r="D362" s="29" t="inlineStr">
        <is>
          <t>South</t>
        </is>
      </c>
      <c r="E362" s="30" t="inlineStr">
        <is>
          <t>Bengaluru</t>
        </is>
      </c>
      <c r="F362" s="30" t="inlineStr">
        <is>
          <t>Skipping Rope with Digital Counter</t>
        </is>
      </c>
      <c r="G362" s="29" t="inlineStr">
        <is>
          <t>Sports</t>
        </is>
      </c>
      <c r="H362" s="31" t="n">
        <v>2</v>
      </c>
      <c r="I362" s="16" t="n">
        <v>499</v>
      </c>
      <c r="J362" s="32" t="n">
        <v>0</v>
      </c>
      <c r="K362" s="16">
        <f>H362*I362</f>
        <v/>
      </c>
      <c r="L362" s="16">
        <f>K362*J362</f>
        <v/>
      </c>
      <c r="M362" s="16">
        <f>K362-L362</f>
        <v/>
      </c>
      <c r="N362" s="16" t="n">
        <v>420</v>
      </c>
      <c r="O362" s="16">
        <f>M362-N362</f>
        <v/>
      </c>
      <c r="P362" s="17">
        <f>IFERROR(O362/M362, 0)</f>
        <v/>
      </c>
      <c r="Q362" s="29" t="inlineStr">
        <is>
          <t>Shipped</t>
        </is>
      </c>
    </row>
    <row r="363">
      <c r="A363" s="33" t="n">
        <v>188</v>
      </c>
      <c r="B363" s="33" t="inlineStr">
        <is>
          <t>2025-06-02</t>
        </is>
      </c>
      <c r="C363" s="34" t="inlineStr">
        <is>
          <t>Ananya Iyer</t>
        </is>
      </c>
      <c r="D363" s="33" t="inlineStr">
        <is>
          <t>South</t>
        </is>
      </c>
      <c r="E363" s="34" t="inlineStr">
        <is>
          <t>Chennai</t>
        </is>
      </c>
      <c r="F363" s="34" t="inlineStr">
        <is>
          <t>Wireless Noise-Cancelling Headphones</t>
        </is>
      </c>
      <c r="G363" s="33" t="inlineStr">
        <is>
          <t>Electronics</t>
        </is>
      </c>
      <c r="H363" s="35" t="n">
        <v>5</v>
      </c>
      <c r="I363" s="20" t="n">
        <v>7499</v>
      </c>
      <c r="J363" s="36" t="n">
        <v>0.1</v>
      </c>
      <c r="K363" s="20">
        <f>H363*I363</f>
        <v/>
      </c>
      <c r="L363" s="20">
        <f>K363*J363</f>
        <v/>
      </c>
      <c r="M363" s="20">
        <f>K363-L363</f>
        <v/>
      </c>
      <c r="N363" s="20" t="n">
        <v>24000</v>
      </c>
      <c r="O363" s="20">
        <f>M363-N363</f>
        <v/>
      </c>
      <c r="P363" s="21">
        <f>IFERROR(O363/M363, 0)</f>
        <v/>
      </c>
      <c r="Q363" s="33" t="inlineStr">
        <is>
          <t>Cancelled</t>
        </is>
      </c>
    </row>
    <row r="364">
      <c r="A364" s="29" t="n">
        <v>189</v>
      </c>
      <c r="B364" s="29" t="inlineStr">
        <is>
          <t>2025-02-04</t>
        </is>
      </c>
      <c r="C364" s="30" t="inlineStr">
        <is>
          <t>Vikram Saxena</t>
        </is>
      </c>
      <c r="D364" s="29" t="inlineStr">
        <is>
          <t>South</t>
        </is>
      </c>
      <c r="E364" s="30" t="inlineStr">
        <is>
          <t>Coimbatore</t>
        </is>
      </c>
      <c r="F364" s="30" t="inlineStr">
        <is>
          <t>Lightweight Running Sports Shoes</t>
        </is>
      </c>
      <c r="G364" s="29" t="inlineStr">
        <is>
          <t>Fashion</t>
        </is>
      </c>
      <c r="H364" s="31" t="n">
        <v>2</v>
      </c>
      <c r="I364" s="16" t="n">
        <v>3199</v>
      </c>
      <c r="J364" s="32" t="n">
        <v>0.05</v>
      </c>
      <c r="K364" s="16">
        <f>H364*I364</f>
        <v/>
      </c>
      <c r="L364" s="16">
        <f>K364*J364</f>
        <v/>
      </c>
      <c r="M364" s="16">
        <f>K364-L364</f>
        <v/>
      </c>
      <c r="N364" s="16" t="n">
        <v>3000</v>
      </c>
      <c r="O364" s="16">
        <f>M364-N364</f>
        <v/>
      </c>
      <c r="P364" s="17">
        <f>IFERROR(O364/M364, 0)</f>
        <v/>
      </c>
      <c r="Q364" s="29" t="inlineStr">
        <is>
          <t>Processing</t>
        </is>
      </c>
    </row>
    <row r="365">
      <c r="A365" s="33" t="n">
        <v>189</v>
      </c>
      <c r="B365" s="33" t="inlineStr">
        <is>
          <t>2025-02-04</t>
        </is>
      </c>
      <c r="C365" s="34" t="inlineStr">
        <is>
          <t>Vikram Saxena</t>
        </is>
      </c>
      <c r="D365" s="33" t="inlineStr">
        <is>
          <t>South</t>
        </is>
      </c>
      <c r="E365" s="34" t="inlineStr">
        <is>
          <t>Coimbatore</t>
        </is>
      </c>
      <c r="F365" s="34" t="inlineStr">
        <is>
          <t>Wireless Noise-Cancelling Headphones</t>
        </is>
      </c>
      <c r="G365" s="33" t="inlineStr">
        <is>
          <t>Electronics</t>
        </is>
      </c>
      <c r="H365" s="35" t="n">
        <v>1</v>
      </c>
      <c r="I365" s="20" t="n">
        <v>7499</v>
      </c>
      <c r="J365" s="36" t="n">
        <v>0.15</v>
      </c>
      <c r="K365" s="20">
        <f>H365*I365</f>
        <v/>
      </c>
      <c r="L365" s="20">
        <f>K365*J365</f>
        <v/>
      </c>
      <c r="M365" s="20">
        <f>K365-L365</f>
        <v/>
      </c>
      <c r="N365" s="20" t="n">
        <v>4800</v>
      </c>
      <c r="O365" s="20">
        <f>M365-N365</f>
        <v/>
      </c>
      <c r="P365" s="21">
        <f>IFERROR(O365/M365, 0)</f>
        <v/>
      </c>
      <c r="Q365" s="33" t="inlineStr">
        <is>
          <t>Processing</t>
        </is>
      </c>
    </row>
    <row r="366">
      <c r="A366" s="29" t="n">
        <v>189</v>
      </c>
      <c r="B366" s="29" t="inlineStr">
        <is>
          <t>2025-02-04</t>
        </is>
      </c>
      <c r="C366" s="30" t="inlineStr">
        <is>
          <t>Vikram Saxena</t>
        </is>
      </c>
      <c r="D366" s="29" t="inlineStr">
        <is>
          <t>South</t>
        </is>
      </c>
      <c r="E366" s="30" t="inlineStr">
        <is>
          <t>Coimbatore</t>
        </is>
      </c>
      <c r="F366" s="30" t="inlineStr">
        <is>
          <t>Ultra HD Smart LED TV 55-inch</t>
        </is>
      </c>
      <c r="G366" s="29" t="inlineStr">
        <is>
          <t>Electronics</t>
        </is>
      </c>
      <c r="H366" s="31" t="n">
        <v>1</v>
      </c>
      <c r="I366" s="16" t="n">
        <v>42999</v>
      </c>
      <c r="J366" s="32" t="n">
        <v>0.1</v>
      </c>
      <c r="K366" s="16">
        <f>H366*I366</f>
        <v/>
      </c>
      <c r="L366" s="16">
        <f>K366*J366</f>
        <v/>
      </c>
      <c r="M366" s="16">
        <f>K366-L366</f>
        <v/>
      </c>
      <c r="N366" s="16" t="n">
        <v>31000</v>
      </c>
      <c r="O366" s="16">
        <f>M366-N366</f>
        <v/>
      </c>
      <c r="P366" s="17">
        <f>IFERROR(O366/M366, 0)</f>
        <v/>
      </c>
      <c r="Q366" s="29" t="inlineStr">
        <is>
          <t>Processing</t>
        </is>
      </c>
    </row>
    <row r="367">
      <c r="A367" s="33" t="n">
        <v>189</v>
      </c>
      <c r="B367" s="33" t="inlineStr">
        <is>
          <t>2025-02-04</t>
        </is>
      </c>
      <c r="C367" s="34" t="inlineStr">
        <is>
          <t>Vikram Saxena</t>
        </is>
      </c>
      <c r="D367" s="33" t="inlineStr">
        <is>
          <t>South</t>
        </is>
      </c>
      <c r="E367" s="34" t="inlineStr">
        <is>
          <t>Coimbatore</t>
        </is>
      </c>
      <c r="F367" s="34" t="inlineStr">
        <is>
          <t>Premium California Almonds 500g</t>
        </is>
      </c>
      <c r="G367" s="33" t="inlineStr">
        <is>
          <t>Groceries</t>
        </is>
      </c>
      <c r="H367" s="35" t="n">
        <v>3</v>
      </c>
      <c r="I367" s="20" t="n">
        <v>599</v>
      </c>
      <c r="J367" s="36" t="n">
        <v>0</v>
      </c>
      <c r="K367" s="20">
        <f>H367*I367</f>
        <v/>
      </c>
      <c r="L367" s="20">
        <f>K367*J367</f>
        <v/>
      </c>
      <c r="M367" s="20">
        <f>K367-L367</f>
        <v/>
      </c>
      <c r="N367" s="20" t="n">
        <v>1140</v>
      </c>
      <c r="O367" s="20">
        <f>M367-N367</f>
        <v/>
      </c>
      <c r="P367" s="21">
        <f>IFERROR(O367/M367, 0)</f>
        <v/>
      </c>
      <c r="Q367" s="33" t="inlineStr">
        <is>
          <t>Processing</t>
        </is>
      </c>
    </row>
    <row r="368">
      <c r="A368" s="29" t="n">
        <v>190</v>
      </c>
      <c r="B368" s="29" t="inlineStr">
        <is>
          <t>2025-06-28</t>
        </is>
      </c>
      <c r="C368" s="30" t="inlineStr">
        <is>
          <t>Amit Mehta</t>
        </is>
      </c>
      <c r="D368" s="29" t="inlineStr">
        <is>
          <t>North</t>
        </is>
      </c>
      <c r="E368" s="30" t="inlineStr">
        <is>
          <t>Noida</t>
        </is>
      </c>
      <c r="F368" s="30" t="inlineStr">
        <is>
          <t>Ergonomic Wireless Mouse</t>
        </is>
      </c>
      <c r="G368" s="29" t="inlineStr">
        <is>
          <t>Electronics</t>
        </is>
      </c>
      <c r="H368" s="31" t="n">
        <v>1</v>
      </c>
      <c r="I368" s="16" t="n">
        <v>1299</v>
      </c>
      <c r="J368" s="32" t="n">
        <v>0.15</v>
      </c>
      <c r="K368" s="16">
        <f>H368*I368</f>
        <v/>
      </c>
      <c r="L368" s="16">
        <f>K368*J368</f>
        <v/>
      </c>
      <c r="M368" s="16">
        <f>K368-L368</f>
        <v/>
      </c>
      <c r="N368" s="16" t="n">
        <v>750</v>
      </c>
      <c r="O368" s="16">
        <f>M368-N368</f>
        <v/>
      </c>
      <c r="P368" s="17">
        <f>IFERROR(O368/M368, 0)</f>
        <v/>
      </c>
      <c r="Q368" s="29" t="inlineStr">
        <is>
          <t>Delivered</t>
        </is>
      </c>
    </row>
    <row r="369">
      <c r="A369" s="33" t="n">
        <v>191</v>
      </c>
      <c r="B369" s="33" t="inlineStr">
        <is>
          <t>2025-09-28</t>
        </is>
      </c>
      <c r="C369" s="34" t="inlineStr">
        <is>
          <t>Swati Iyer</t>
        </is>
      </c>
      <c r="D369" s="33" t="inlineStr">
        <is>
          <t>Central</t>
        </is>
      </c>
      <c r="E369" s="34" t="inlineStr">
        <is>
          <t>Indore</t>
        </is>
      </c>
      <c r="F369" s="34" t="inlineStr">
        <is>
          <t>Ultra HD Smart LED TV 55-inch</t>
        </is>
      </c>
      <c r="G369" s="33" t="inlineStr">
        <is>
          <t>Electronics</t>
        </is>
      </c>
      <c r="H369" s="35" t="n">
        <v>1</v>
      </c>
      <c r="I369" s="20" t="n">
        <v>42999</v>
      </c>
      <c r="J369" s="36" t="n">
        <v>0.05</v>
      </c>
      <c r="K369" s="20">
        <f>H369*I369</f>
        <v/>
      </c>
      <c r="L369" s="20">
        <f>K369*J369</f>
        <v/>
      </c>
      <c r="M369" s="20">
        <f>K369-L369</f>
        <v/>
      </c>
      <c r="N369" s="20" t="n">
        <v>31000</v>
      </c>
      <c r="O369" s="20">
        <f>M369-N369</f>
        <v/>
      </c>
      <c r="P369" s="21">
        <f>IFERROR(O369/M369, 0)</f>
        <v/>
      </c>
      <c r="Q369" s="33" t="inlineStr">
        <is>
          <t>Delivered</t>
        </is>
      </c>
    </row>
    <row r="370">
      <c r="A370" s="29" t="n">
        <v>191</v>
      </c>
      <c r="B370" s="29" t="inlineStr">
        <is>
          <t>2025-09-28</t>
        </is>
      </c>
      <c r="C370" s="30" t="inlineStr">
        <is>
          <t>Swati Iyer</t>
        </is>
      </c>
      <c r="D370" s="29" t="inlineStr">
        <is>
          <t>Central</t>
        </is>
      </c>
      <c r="E370" s="30" t="inlineStr">
        <is>
          <t>Indore</t>
        </is>
      </c>
      <c r="F370" s="30" t="inlineStr">
        <is>
          <t>Skipping Rope with Digital Counter</t>
        </is>
      </c>
      <c r="G370" s="29" t="inlineStr">
        <is>
          <t>Sports</t>
        </is>
      </c>
      <c r="H370" s="31" t="n">
        <v>1</v>
      </c>
      <c r="I370" s="16" t="n">
        <v>499</v>
      </c>
      <c r="J370" s="32" t="n">
        <v>0.2</v>
      </c>
      <c r="K370" s="16">
        <f>H370*I370</f>
        <v/>
      </c>
      <c r="L370" s="16">
        <f>K370*J370</f>
        <v/>
      </c>
      <c r="M370" s="16">
        <f>K370-L370</f>
        <v/>
      </c>
      <c r="N370" s="16" t="n">
        <v>210</v>
      </c>
      <c r="O370" s="16">
        <f>M370-N370</f>
        <v/>
      </c>
      <c r="P370" s="17">
        <f>IFERROR(O370/M370, 0)</f>
        <v/>
      </c>
      <c r="Q370" s="29" t="inlineStr">
        <is>
          <t>Delivered</t>
        </is>
      </c>
    </row>
    <row r="371">
      <c r="A371" s="33" t="n">
        <v>192</v>
      </c>
      <c r="B371" s="33" t="inlineStr">
        <is>
          <t>2025-01-29</t>
        </is>
      </c>
      <c r="C371" s="34" t="inlineStr">
        <is>
          <t>Alok Deshmukh</t>
        </is>
      </c>
      <c r="D371" s="33" t="inlineStr">
        <is>
          <t>Central</t>
        </is>
      </c>
      <c r="E371" s="34" t="inlineStr">
        <is>
          <t>Bhopal</t>
        </is>
      </c>
      <c r="F371" s="34" t="inlineStr">
        <is>
          <t>Stainless Steel Electric Kettle 1.8L</t>
        </is>
      </c>
      <c r="G371" s="33" t="inlineStr">
        <is>
          <t>Home &amp; Living</t>
        </is>
      </c>
      <c r="H371" s="35" t="n">
        <v>1</v>
      </c>
      <c r="I371" s="20" t="n">
        <v>1299</v>
      </c>
      <c r="J371" s="36" t="n">
        <v>0.1</v>
      </c>
      <c r="K371" s="20">
        <f>H371*I371</f>
        <v/>
      </c>
      <c r="L371" s="20">
        <f>K371*J371</f>
        <v/>
      </c>
      <c r="M371" s="20">
        <f>K371-L371</f>
        <v/>
      </c>
      <c r="N371" s="20" t="n">
        <v>720</v>
      </c>
      <c r="O371" s="20">
        <f>M371-N371</f>
        <v/>
      </c>
      <c r="P371" s="21">
        <f>IFERROR(O371/M371, 0)</f>
        <v/>
      </c>
      <c r="Q371" s="33" t="inlineStr">
        <is>
          <t>Shipped</t>
        </is>
      </c>
    </row>
    <row r="372">
      <c r="A372" s="29" t="n">
        <v>192</v>
      </c>
      <c r="B372" s="29" t="inlineStr">
        <is>
          <t>2025-01-29</t>
        </is>
      </c>
      <c r="C372" s="30" t="inlineStr">
        <is>
          <t>Alok Deshmukh</t>
        </is>
      </c>
      <c r="D372" s="29" t="inlineStr">
        <is>
          <t>Central</t>
        </is>
      </c>
      <c r="E372" s="30" t="inlineStr">
        <is>
          <t>Bhopal</t>
        </is>
      </c>
      <c r="F372" s="30" t="inlineStr">
        <is>
          <t>Double Bed Pure Cotton Bedsheet</t>
        </is>
      </c>
      <c r="G372" s="29" t="inlineStr">
        <is>
          <t>Home &amp; Living</t>
        </is>
      </c>
      <c r="H372" s="31" t="n">
        <v>2</v>
      </c>
      <c r="I372" s="16" t="n">
        <v>1599</v>
      </c>
      <c r="J372" s="32" t="n">
        <v>0</v>
      </c>
      <c r="K372" s="16">
        <f>H372*I372</f>
        <v/>
      </c>
      <c r="L372" s="16">
        <f>K372*J372</f>
        <v/>
      </c>
      <c r="M372" s="16">
        <f>K372-L372</f>
        <v/>
      </c>
      <c r="N372" s="16" t="n">
        <v>1560</v>
      </c>
      <c r="O372" s="16">
        <f>M372-N372</f>
        <v/>
      </c>
      <c r="P372" s="17">
        <f>IFERROR(O372/M372, 0)</f>
        <v/>
      </c>
      <c r="Q372" s="29" t="inlineStr">
        <is>
          <t>Shipped</t>
        </is>
      </c>
    </row>
    <row r="373">
      <c r="A373" s="33" t="n">
        <v>192</v>
      </c>
      <c r="B373" s="33" t="inlineStr">
        <is>
          <t>2025-01-29</t>
        </is>
      </c>
      <c r="C373" s="34" t="inlineStr">
        <is>
          <t>Alok Deshmukh</t>
        </is>
      </c>
      <c r="D373" s="33" t="inlineStr">
        <is>
          <t>Central</t>
        </is>
      </c>
      <c r="E373" s="34" t="inlineStr">
        <is>
          <t>Bhopal</t>
        </is>
      </c>
      <c r="F373" s="34" t="inlineStr">
        <is>
          <t>Organic Green Tea 100 Bags</t>
        </is>
      </c>
      <c r="G373" s="33" t="inlineStr">
        <is>
          <t>Groceries</t>
        </is>
      </c>
      <c r="H373" s="35" t="n">
        <v>5</v>
      </c>
      <c r="I373" s="20" t="n">
        <v>450</v>
      </c>
      <c r="J373" s="36" t="n">
        <v>0.1</v>
      </c>
      <c r="K373" s="20">
        <f>H373*I373</f>
        <v/>
      </c>
      <c r="L373" s="20">
        <f>K373*J373</f>
        <v/>
      </c>
      <c r="M373" s="20">
        <f>K373-L373</f>
        <v/>
      </c>
      <c r="N373" s="20" t="n">
        <v>1300</v>
      </c>
      <c r="O373" s="20">
        <f>M373-N373</f>
        <v/>
      </c>
      <c r="P373" s="21">
        <f>IFERROR(O373/M373, 0)</f>
        <v/>
      </c>
      <c r="Q373" s="33" t="inlineStr">
        <is>
          <t>Shipped</t>
        </is>
      </c>
    </row>
    <row r="374">
      <c r="A374" s="29" t="n">
        <v>193</v>
      </c>
      <c r="B374" s="29" t="inlineStr">
        <is>
          <t>2025-03-08</t>
        </is>
      </c>
      <c r="C374" s="30" t="inlineStr">
        <is>
          <t>Nandini Singh</t>
        </is>
      </c>
      <c r="D374" s="29" t="inlineStr">
        <is>
          <t>Central</t>
        </is>
      </c>
      <c r="E374" s="30" t="inlineStr">
        <is>
          <t>Gwalior</t>
        </is>
      </c>
      <c r="F374" s="30" t="inlineStr">
        <is>
          <t>Women Floral Embroidered Kurti</t>
        </is>
      </c>
      <c r="G374" s="29" t="inlineStr">
        <is>
          <t>Fashion</t>
        </is>
      </c>
      <c r="H374" s="31" t="n">
        <v>1</v>
      </c>
      <c r="I374" s="16" t="n">
        <v>1899</v>
      </c>
      <c r="J374" s="32" t="n">
        <v>0.05</v>
      </c>
      <c r="K374" s="16">
        <f>H374*I374</f>
        <v/>
      </c>
      <c r="L374" s="16">
        <f>K374*J374</f>
        <v/>
      </c>
      <c r="M374" s="16">
        <f>K374-L374</f>
        <v/>
      </c>
      <c r="N374" s="16" t="n">
        <v>800</v>
      </c>
      <c r="O374" s="16">
        <f>M374-N374</f>
        <v/>
      </c>
      <c r="P374" s="17">
        <f>IFERROR(O374/M374, 0)</f>
        <v/>
      </c>
      <c r="Q374" s="29" t="inlineStr">
        <is>
          <t>Delivered</t>
        </is>
      </c>
    </row>
    <row r="375">
      <c r="A375" s="33" t="n">
        <v>194</v>
      </c>
      <c r="B375" s="33" t="inlineStr">
        <is>
          <t>2025-04-04</t>
        </is>
      </c>
      <c r="C375" s="34" t="inlineStr">
        <is>
          <t>Shreya Kapoor</t>
        </is>
      </c>
      <c r="D375" s="33" t="inlineStr">
        <is>
          <t>East</t>
        </is>
      </c>
      <c r="E375" s="34" t="inlineStr">
        <is>
          <t>Bhubaneswar</t>
        </is>
      </c>
      <c r="F375" s="34" t="inlineStr">
        <is>
          <t>Ultra HD Smart LED TV 55-inch</t>
        </is>
      </c>
      <c r="G375" s="33" t="inlineStr">
        <is>
          <t>Electronics</t>
        </is>
      </c>
      <c r="H375" s="35" t="n">
        <v>2</v>
      </c>
      <c r="I375" s="20" t="n">
        <v>42999</v>
      </c>
      <c r="J375" s="36" t="n">
        <v>0.15</v>
      </c>
      <c r="K375" s="20">
        <f>H375*I375</f>
        <v/>
      </c>
      <c r="L375" s="20">
        <f>K375*J375</f>
        <v/>
      </c>
      <c r="M375" s="20">
        <f>K375-L375</f>
        <v/>
      </c>
      <c r="N375" s="20" t="n">
        <v>62000</v>
      </c>
      <c r="O375" s="20">
        <f>M375-N375</f>
        <v/>
      </c>
      <c r="P375" s="21">
        <f>IFERROR(O375/M375, 0)</f>
        <v/>
      </c>
      <c r="Q375" s="33" t="inlineStr">
        <is>
          <t>Shipped</t>
        </is>
      </c>
    </row>
    <row r="376">
      <c r="A376" s="29" t="n">
        <v>194</v>
      </c>
      <c r="B376" s="29" t="inlineStr">
        <is>
          <t>2025-04-04</t>
        </is>
      </c>
      <c r="C376" s="30" t="inlineStr">
        <is>
          <t>Shreya Kapoor</t>
        </is>
      </c>
      <c r="D376" s="29" t="inlineStr">
        <is>
          <t>East</t>
        </is>
      </c>
      <c r="E376" s="30" t="inlineStr">
        <is>
          <t>Bhubaneswar</t>
        </is>
      </c>
      <c r="F376" s="30" t="inlineStr">
        <is>
          <t>Unisex Classic Denim Jeans</t>
        </is>
      </c>
      <c r="G376" s="29" t="inlineStr">
        <is>
          <t>Fashion</t>
        </is>
      </c>
      <c r="H376" s="31" t="n">
        <v>1</v>
      </c>
      <c r="I376" s="16" t="n">
        <v>2499</v>
      </c>
      <c r="J376" s="32" t="n">
        <v>0.15</v>
      </c>
      <c r="K376" s="16">
        <f>H376*I376</f>
        <v/>
      </c>
      <c r="L376" s="16">
        <f>K376*J376</f>
        <v/>
      </c>
      <c r="M376" s="16">
        <f>K376-L376</f>
        <v/>
      </c>
      <c r="N376" s="16" t="n">
        <v>1100</v>
      </c>
      <c r="O376" s="16">
        <f>M376-N376</f>
        <v/>
      </c>
      <c r="P376" s="17">
        <f>IFERROR(O376/M376, 0)</f>
        <v/>
      </c>
      <c r="Q376" s="29" t="inlineStr">
        <is>
          <t>Shipped</t>
        </is>
      </c>
    </row>
    <row r="377">
      <c r="A377" s="33" t="n">
        <v>195</v>
      </c>
      <c r="B377" s="33" t="inlineStr">
        <is>
          <t>2025-06-27</t>
        </is>
      </c>
      <c r="C377" s="34" t="inlineStr">
        <is>
          <t>Meera Saxena</t>
        </is>
      </c>
      <c r="D377" s="33" t="inlineStr">
        <is>
          <t>South</t>
        </is>
      </c>
      <c r="E377" s="34" t="inlineStr">
        <is>
          <t>Hyderabad</t>
        </is>
      </c>
      <c r="F377" s="34" t="inlineStr">
        <is>
          <t>Adjustable Dumbbell Set 20kg</t>
        </is>
      </c>
      <c r="G377" s="33" t="inlineStr">
        <is>
          <t>Sports</t>
        </is>
      </c>
      <c r="H377" s="35" t="n">
        <v>1</v>
      </c>
      <c r="I377" s="20" t="n">
        <v>4299</v>
      </c>
      <c r="J377" s="36" t="n">
        <v>0.15</v>
      </c>
      <c r="K377" s="20">
        <f>H377*I377</f>
        <v/>
      </c>
      <c r="L377" s="20">
        <f>K377*J377</f>
        <v/>
      </c>
      <c r="M377" s="20">
        <f>K377-L377</f>
        <v/>
      </c>
      <c r="N377" s="20" t="n">
        <v>2600</v>
      </c>
      <c r="O377" s="20">
        <f>M377-N377</f>
        <v/>
      </c>
      <c r="P377" s="21">
        <f>IFERROR(O377/M377, 0)</f>
        <v/>
      </c>
      <c r="Q377" s="33" t="inlineStr">
        <is>
          <t>Delivered</t>
        </is>
      </c>
    </row>
    <row r="378">
      <c r="A378" s="29" t="n">
        <v>196</v>
      </c>
      <c r="B378" s="29" t="inlineStr">
        <is>
          <t>2024-12-31</t>
        </is>
      </c>
      <c r="C378" s="30" t="inlineStr">
        <is>
          <t>Manoj Verma</t>
        </is>
      </c>
      <c r="D378" s="29" t="inlineStr">
        <is>
          <t>North</t>
        </is>
      </c>
      <c r="E378" s="30" t="inlineStr">
        <is>
          <t>Gurgaon</t>
        </is>
      </c>
      <c r="F378" s="30" t="inlineStr">
        <is>
          <t>Lightweight Running Sports Shoes</t>
        </is>
      </c>
      <c r="G378" s="29" t="inlineStr">
        <is>
          <t>Fashion</t>
        </is>
      </c>
      <c r="H378" s="31" t="n">
        <v>1</v>
      </c>
      <c r="I378" s="16" t="n">
        <v>3199</v>
      </c>
      <c r="J378" s="32" t="n">
        <v>0</v>
      </c>
      <c r="K378" s="16">
        <f>H378*I378</f>
        <v/>
      </c>
      <c r="L378" s="16">
        <f>K378*J378</f>
        <v/>
      </c>
      <c r="M378" s="16">
        <f>K378-L378</f>
        <v/>
      </c>
      <c r="N378" s="16" t="n">
        <v>1500</v>
      </c>
      <c r="O378" s="16">
        <f>M378-N378</f>
        <v/>
      </c>
      <c r="P378" s="17">
        <f>IFERROR(O378/M378, 0)</f>
        <v/>
      </c>
      <c r="Q378" s="29" t="inlineStr">
        <is>
          <t>Processing</t>
        </is>
      </c>
    </row>
    <row r="379">
      <c r="A379" s="33" t="n">
        <v>196</v>
      </c>
      <c r="B379" s="33" t="inlineStr">
        <is>
          <t>2024-12-31</t>
        </is>
      </c>
      <c r="C379" s="34" t="inlineStr">
        <is>
          <t>Manoj Verma</t>
        </is>
      </c>
      <c r="D379" s="33" t="inlineStr">
        <is>
          <t>North</t>
        </is>
      </c>
      <c r="E379" s="34" t="inlineStr">
        <is>
          <t>Gurgaon</t>
        </is>
      </c>
      <c r="F379" s="34" t="inlineStr">
        <is>
          <t>Orthopedic Memory Foam Pillow</t>
        </is>
      </c>
      <c r="G379" s="33" t="inlineStr">
        <is>
          <t>Home &amp; Living</t>
        </is>
      </c>
      <c r="H379" s="35" t="n">
        <v>1</v>
      </c>
      <c r="I379" s="20" t="n">
        <v>1799</v>
      </c>
      <c r="J379" s="36" t="n">
        <v>0.1</v>
      </c>
      <c r="K379" s="20">
        <f>H379*I379</f>
        <v/>
      </c>
      <c r="L379" s="20">
        <f>K379*J379</f>
        <v/>
      </c>
      <c r="M379" s="20">
        <f>K379-L379</f>
        <v/>
      </c>
      <c r="N379" s="20" t="n">
        <v>950</v>
      </c>
      <c r="O379" s="20">
        <f>M379-N379</f>
        <v/>
      </c>
      <c r="P379" s="21">
        <f>IFERROR(O379/M379, 0)</f>
        <v/>
      </c>
      <c r="Q379" s="33" t="inlineStr">
        <is>
          <t>Processing</t>
        </is>
      </c>
    </row>
    <row r="380">
      <c r="A380" s="29" t="n">
        <v>196</v>
      </c>
      <c r="B380" s="29" t="inlineStr">
        <is>
          <t>2024-12-31</t>
        </is>
      </c>
      <c r="C380" s="30" t="inlineStr">
        <is>
          <t>Manoj Verma</t>
        </is>
      </c>
      <c r="D380" s="29" t="inlineStr">
        <is>
          <t>North</t>
        </is>
      </c>
      <c r="E380" s="30" t="inlineStr">
        <is>
          <t>Gurgaon</t>
        </is>
      </c>
      <c r="F380" s="30" t="inlineStr">
        <is>
          <t>Pure Raw Honey 500g</t>
        </is>
      </c>
      <c r="G380" s="29" t="inlineStr">
        <is>
          <t>Groceries</t>
        </is>
      </c>
      <c r="H380" s="31" t="n">
        <v>2</v>
      </c>
      <c r="I380" s="16" t="n">
        <v>399</v>
      </c>
      <c r="J380" s="32" t="n">
        <v>0.12</v>
      </c>
      <c r="K380" s="16">
        <f>H380*I380</f>
        <v/>
      </c>
      <c r="L380" s="16">
        <f>K380*J380</f>
        <v/>
      </c>
      <c r="M380" s="16">
        <f>K380-L380</f>
        <v/>
      </c>
      <c r="N380" s="16" t="n">
        <v>420</v>
      </c>
      <c r="O380" s="16">
        <f>M380-N380</f>
        <v/>
      </c>
      <c r="P380" s="17">
        <f>IFERROR(O380/M380, 0)</f>
        <v/>
      </c>
      <c r="Q380" s="29" t="inlineStr">
        <is>
          <t>Processing</t>
        </is>
      </c>
    </row>
    <row r="381">
      <c r="A381" s="33" t="n">
        <v>197</v>
      </c>
      <c r="B381" s="33" t="inlineStr">
        <is>
          <t>2025-06-01</t>
        </is>
      </c>
      <c r="C381" s="34" t="inlineStr">
        <is>
          <t>Meera Bhat</t>
        </is>
      </c>
      <c r="D381" s="33" t="inlineStr">
        <is>
          <t>South</t>
        </is>
      </c>
      <c r="E381" s="34" t="inlineStr">
        <is>
          <t>Bengaluru</t>
        </is>
      </c>
      <c r="F381" s="34" t="inlineStr">
        <is>
          <t>Multipurpose Desk Organizer Set</t>
        </is>
      </c>
      <c r="G381" s="33" t="inlineStr">
        <is>
          <t>Home &amp; Living</t>
        </is>
      </c>
      <c r="H381" s="35" t="n">
        <v>2</v>
      </c>
      <c r="I381" s="20" t="n">
        <v>699</v>
      </c>
      <c r="J381" s="36" t="n">
        <v>0.2</v>
      </c>
      <c r="K381" s="20">
        <f>H381*I381</f>
        <v/>
      </c>
      <c r="L381" s="20">
        <f>K381*J381</f>
        <v/>
      </c>
      <c r="M381" s="20">
        <f>K381-L381</f>
        <v/>
      </c>
      <c r="N381" s="20" t="n">
        <v>580</v>
      </c>
      <c r="O381" s="20">
        <f>M381-N381</f>
        <v/>
      </c>
      <c r="P381" s="21">
        <f>IFERROR(O381/M381, 0)</f>
        <v/>
      </c>
      <c r="Q381" s="33" t="inlineStr">
        <is>
          <t>Processing</t>
        </is>
      </c>
    </row>
    <row r="382">
      <c r="A382" s="29" t="n">
        <v>197</v>
      </c>
      <c r="B382" s="29" t="inlineStr">
        <is>
          <t>2025-06-01</t>
        </is>
      </c>
      <c r="C382" s="30" t="inlineStr">
        <is>
          <t>Meera Bhat</t>
        </is>
      </c>
      <c r="D382" s="29" t="inlineStr">
        <is>
          <t>South</t>
        </is>
      </c>
      <c r="E382" s="30" t="inlineStr">
        <is>
          <t>Bengaluru</t>
        </is>
      </c>
      <c r="F382" s="30" t="inlineStr">
        <is>
          <t>Cold-Pressed Extra Virgin Olive Oil 1L</t>
        </is>
      </c>
      <c r="G382" s="29" t="inlineStr">
        <is>
          <t>Groceries</t>
        </is>
      </c>
      <c r="H382" s="31" t="n">
        <v>1</v>
      </c>
      <c r="I382" s="16" t="n">
        <v>1199</v>
      </c>
      <c r="J382" s="32" t="n">
        <v>0</v>
      </c>
      <c r="K382" s="16">
        <f>H382*I382</f>
        <v/>
      </c>
      <c r="L382" s="16">
        <f>K382*J382</f>
        <v/>
      </c>
      <c r="M382" s="16">
        <f>K382-L382</f>
        <v/>
      </c>
      <c r="N382" s="16" t="n">
        <v>780</v>
      </c>
      <c r="O382" s="16">
        <f>M382-N382</f>
        <v/>
      </c>
      <c r="P382" s="17">
        <f>IFERROR(O382/M382, 0)</f>
        <v/>
      </c>
      <c r="Q382" s="29" t="inlineStr">
        <is>
          <t>Processing</t>
        </is>
      </c>
    </row>
    <row r="383">
      <c r="A383" s="33" t="n">
        <v>198</v>
      </c>
      <c r="B383" s="33" t="inlineStr">
        <is>
          <t>2025-09-02</t>
        </is>
      </c>
      <c r="C383" s="34" t="inlineStr">
        <is>
          <t>Nikhil Joshi</t>
        </is>
      </c>
      <c r="D383" s="33" t="inlineStr">
        <is>
          <t>Central</t>
        </is>
      </c>
      <c r="E383" s="34" t="inlineStr">
        <is>
          <t>Gwalior</t>
        </is>
      </c>
      <c r="F383" s="34" t="inlineStr">
        <is>
          <t>Organic Green Tea 100 Bags</t>
        </is>
      </c>
      <c r="G383" s="33" t="inlineStr">
        <is>
          <t>Groceries</t>
        </is>
      </c>
      <c r="H383" s="35" t="n">
        <v>1</v>
      </c>
      <c r="I383" s="20" t="n">
        <v>450</v>
      </c>
      <c r="J383" s="36" t="n">
        <v>0.05</v>
      </c>
      <c r="K383" s="20">
        <f>H383*I383</f>
        <v/>
      </c>
      <c r="L383" s="20">
        <f>K383*J383</f>
        <v/>
      </c>
      <c r="M383" s="20">
        <f>K383-L383</f>
        <v/>
      </c>
      <c r="N383" s="20" t="n">
        <v>260</v>
      </c>
      <c r="O383" s="20">
        <f>M383-N383</f>
        <v/>
      </c>
      <c r="P383" s="21">
        <f>IFERROR(O383/M383, 0)</f>
        <v/>
      </c>
      <c r="Q383" s="33" t="inlineStr">
        <is>
          <t>Cancelled</t>
        </is>
      </c>
    </row>
    <row r="384">
      <c r="A384" s="29" t="n">
        <v>198</v>
      </c>
      <c r="B384" s="29" t="inlineStr">
        <is>
          <t>2025-09-02</t>
        </is>
      </c>
      <c r="C384" s="30" t="inlineStr">
        <is>
          <t>Nikhil Joshi</t>
        </is>
      </c>
      <c r="D384" s="29" t="inlineStr">
        <is>
          <t>Central</t>
        </is>
      </c>
      <c r="E384" s="30" t="inlineStr">
        <is>
          <t>Gwalior</t>
        </is>
      </c>
      <c r="F384" s="30" t="inlineStr">
        <is>
          <t>Automatic Air Fryer 4.5L</t>
        </is>
      </c>
      <c r="G384" s="29" t="inlineStr">
        <is>
          <t>Home &amp; Living</t>
        </is>
      </c>
      <c r="H384" s="31" t="n">
        <v>1</v>
      </c>
      <c r="I384" s="16" t="n">
        <v>5499</v>
      </c>
      <c r="J384" s="32" t="n">
        <v>0.12</v>
      </c>
      <c r="K384" s="16">
        <f>H384*I384</f>
        <v/>
      </c>
      <c r="L384" s="16">
        <f>K384*J384</f>
        <v/>
      </c>
      <c r="M384" s="16">
        <f>K384-L384</f>
        <v/>
      </c>
      <c r="N384" s="16" t="n">
        <v>3600</v>
      </c>
      <c r="O384" s="16">
        <f>M384-N384</f>
        <v/>
      </c>
      <c r="P384" s="17">
        <f>IFERROR(O384/M384, 0)</f>
        <v/>
      </c>
      <c r="Q384" s="29" t="inlineStr">
        <is>
          <t>Cancelled</t>
        </is>
      </c>
    </row>
    <row r="385">
      <c r="A385" s="33" t="n">
        <v>199</v>
      </c>
      <c r="B385" s="33" t="inlineStr">
        <is>
          <t>2024-12-02</t>
        </is>
      </c>
      <c r="C385" s="34" t="inlineStr">
        <is>
          <t>Nandini Gupta</t>
        </is>
      </c>
      <c r="D385" s="33" t="inlineStr">
        <is>
          <t>South</t>
        </is>
      </c>
      <c r="E385" s="34" t="inlineStr">
        <is>
          <t>Kochi</t>
        </is>
      </c>
      <c r="F385" s="34" t="inlineStr">
        <is>
          <t>Organic Green Tea 100 Bags</t>
        </is>
      </c>
      <c r="G385" s="33" t="inlineStr">
        <is>
          <t>Groceries</t>
        </is>
      </c>
      <c r="H385" s="35" t="n">
        <v>1</v>
      </c>
      <c r="I385" s="20" t="n">
        <v>450</v>
      </c>
      <c r="J385" s="36" t="n">
        <v>0</v>
      </c>
      <c r="K385" s="20">
        <f>H385*I385</f>
        <v/>
      </c>
      <c r="L385" s="20">
        <f>K385*J385</f>
        <v/>
      </c>
      <c r="M385" s="20">
        <f>K385-L385</f>
        <v/>
      </c>
      <c r="N385" s="20" t="n">
        <v>260</v>
      </c>
      <c r="O385" s="20">
        <f>M385-N385</f>
        <v/>
      </c>
      <c r="P385" s="21">
        <f>IFERROR(O385/M385, 0)</f>
        <v/>
      </c>
      <c r="Q385" s="33" t="inlineStr">
        <is>
          <t>Cancelled</t>
        </is>
      </c>
    </row>
    <row r="386">
      <c r="A386" s="29" t="n">
        <v>199</v>
      </c>
      <c r="B386" s="29" t="inlineStr">
        <is>
          <t>2024-12-02</t>
        </is>
      </c>
      <c r="C386" s="30" t="inlineStr">
        <is>
          <t>Nandini Gupta</t>
        </is>
      </c>
      <c r="D386" s="29" t="inlineStr">
        <is>
          <t>South</t>
        </is>
      </c>
      <c r="E386" s="30" t="inlineStr">
        <is>
          <t>Kochi</t>
        </is>
      </c>
      <c r="F386" s="30" t="inlineStr">
        <is>
          <t>Men Slim-Fit Cotton Casual Shirt</t>
        </is>
      </c>
      <c r="G386" s="29" t="inlineStr">
        <is>
          <t>Fashion</t>
        </is>
      </c>
      <c r="H386" s="31" t="n">
        <v>1</v>
      </c>
      <c r="I386" s="16" t="n">
        <v>1499</v>
      </c>
      <c r="J386" s="32" t="n">
        <v>0.2</v>
      </c>
      <c r="K386" s="16">
        <f>H386*I386</f>
        <v/>
      </c>
      <c r="L386" s="16">
        <f>K386*J386</f>
        <v/>
      </c>
      <c r="M386" s="16">
        <f>K386-L386</f>
        <v/>
      </c>
      <c r="N386" s="16" t="n">
        <v>650</v>
      </c>
      <c r="O386" s="16">
        <f>M386-N386</f>
        <v/>
      </c>
      <c r="P386" s="17">
        <f>IFERROR(O386/M386, 0)</f>
        <v/>
      </c>
      <c r="Q386" s="29" t="inlineStr">
        <is>
          <t>Cancelled</t>
        </is>
      </c>
    </row>
    <row r="387">
      <c r="A387" s="33" t="n">
        <v>200</v>
      </c>
      <c r="B387" s="33" t="inlineStr">
        <is>
          <t>2025-06-15</t>
        </is>
      </c>
      <c r="C387" s="34" t="inlineStr">
        <is>
          <t>Tarun Agarwal</t>
        </is>
      </c>
      <c r="D387" s="33" t="inlineStr">
        <is>
          <t>North</t>
        </is>
      </c>
      <c r="E387" s="34" t="inlineStr">
        <is>
          <t>Lucknow</t>
        </is>
      </c>
      <c r="F387" s="34" t="inlineStr">
        <is>
          <t>Insulated Stainless Steel Sipper Bottle</t>
        </is>
      </c>
      <c r="G387" s="33" t="inlineStr">
        <is>
          <t>Sports</t>
        </is>
      </c>
      <c r="H387" s="35" t="n">
        <v>1</v>
      </c>
      <c r="I387" s="20" t="n">
        <v>799</v>
      </c>
      <c r="J387" s="36" t="n">
        <v>0.12</v>
      </c>
      <c r="K387" s="20">
        <f>H387*I387</f>
        <v/>
      </c>
      <c r="L387" s="20">
        <f>K387*J387</f>
        <v/>
      </c>
      <c r="M387" s="20">
        <f>K387-L387</f>
        <v/>
      </c>
      <c r="N387" s="20" t="n">
        <v>390</v>
      </c>
      <c r="O387" s="20">
        <f>M387-N387</f>
        <v/>
      </c>
      <c r="P387" s="21">
        <f>IFERROR(O387/M387, 0)</f>
        <v/>
      </c>
      <c r="Q387" s="33" t="inlineStr">
        <is>
          <t>Delivered</t>
        </is>
      </c>
    </row>
    <row r="388">
      <c r="A388" s="29" t="n">
        <v>200</v>
      </c>
      <c r="B388" s="29" t="inlineStr">
        <is>
          <t>2025-06-15</t>
        </is>
      </c>
      <c r="C388" s="30" t="inlineStr">
        <is>
          <t>Tarun Agarwal</t>
        </is>
      </c>
      <c r="D388" s="29" t="inlineStr">
        <is>
          <t>North</t>
        </is>
      </c>
      <c r="E388" s="30" t="inlineStr">
        <is>
          <t>Lucknow</t>
        </is>
      </c>
      <c r="F388" s="30" t="inlineStr">
        <is>
          <t>Premium California Almonds 500g</t>
        </is>
      </c>
      <c r="G388" s="29" t="inlineStr">
        <is>
          <t>Groceries</t>
        </is>
      </c>
      <c r="H388" s="31" t="n">
        <v>1</v>
      </c>
      <c r="I388" s="16" t="n">
        <v>599</v>
      </c>
      <c r="J388" s="32" t="n">
        <v>0</v>
      </c>
      <c r="K388" s="16">
        <f>H388*I388</f>
        <v/>
      </c>
      <c r="L388" s="16">
        <f>K388*J388</f>
        <v/>
      </c>
      <c r="M388" s="16">
        <f>K388-L388</f>
        <v/>
      </c>
      <c r="N388" s="16" t="n">
        <v>380</v>
      </c>
      <c r="O388" s="16">
        <f>M388-N388</f>
        <v/>
      </c>
      <c r="P388" s="17">
        <f>IFERROR(O388/M388, 0)</f>
        <v/>
      </c>
      <c r="Q388" s="29" t="inlineStr">
        <is>
          <t>Delivered</t>
        </is>
      </c>
    </row>
    <row r="389">
      <c r="A389" s="33" t="n">
        <v>201</v>
      </c>
      <c r="B389" s="33" t="inlineStr">
        <is>
          <t>2025-01-07</t>
        </is>
      </c>
      <c r="C389" s="34" t="inlineStr">
        <is>
          <t>Swati Iyer</t>
        </is>
      </c>
      <c r="D389" s="33" t="inlineStr">
        <is>
          <t>Central</t>
        </is>
      </c>
      <c r="E389" s="34" t="inlineStr">
        <is>
          <t>Indore</t>
        </is>
      </c>
      <c r="F389" s="34" t="inlineStr">
        <is>
          <t>Premium California Almonds 500g</t>
        </is>
      </c>
      <c r="G389" s="33" t="inlineStr">
        <is>
          <t>Groceries</t>
        </is>
      </c>
      <c r="H389" s="35" t="n">
        <v>1</v>
      </c>
      <c r="I389" s="20" t="n">
        <v>599</v>
      </c>
      <c r="J389" s="36" t="n">
        <v>0.1</v>
      </c>
      <c r="K389" s="20">
        <f>H389*I389</f>
        <v/>
      </c>
      <c r="L389" s="20">
        <f>K389*J389</f>
        <v/>
      </c>
      <c r="M389" s="20">
        <f>K389-L389</f>
        <v/>
      </c>
      <c r="N389" s="20" t="n">
        <v>380</v>
      </c>
      <c r="O389" s="20">
        <f>M389-N389</f>
        <v/>
      </c>
      <c r="P389" s="21">
        <f>IFERROR(O389/M389, 0)</f>
        <v/>
      </c>
      <c r="Q389" s="33" t="inlineStr">
        <is>
          <t>Shipped</t>
        </is>
      </c>
    </row>
    <row r="390">
      <c r="A390" s="29" t="n">
        <v>202</v>
      </c>
      <c r="B390" s="29" t="inlineStr">
        <is>
          <t>2025-04-07</t>
        </is>
      </c>
      <c r="C390" s="30" t="inlineStr">
        <is>
          <t>Rohit Iyer</t>
        </is>
      </c>
      <c r="D390" s="29" t="inlineStr">
        <is>
          <t>Central</t>
        </is>
      </c>
      <c r="E390" s="30" t="inlineStr">
        <is>
          <t>Jabalpur</t>
        </is>
      </c>
      <c r="F390" s="30" t="inlineStr">
        <is>
          <t>Unisex Classic Denim Jeans</t>
        </is>
      </c>
      <c r="G390" s="29" t="inlineStr">
        <is>
          <t>Fashion</t>
        </is>
      </c>
      <c r="H390" s="31" t="n">
        <v>2</v>
      </c>
      <c r="I390" s="16" t="n">
        <v>2499</v>
      </c>
      <c r="J390" s="32" t="n">
        <v>0.15</v>
      </c>
      <c r="K390" s="16">
        <f>H390*I390</f>
        <v/>
      </c>
      <c r="L390" s="16">
        <f>K390*J390</f>
        <v/>
      </c>
      <c r="M390" s="16">
        <f>K390-L390</f>
        <v/>
      </c>
      <c r="N390" s="16" t="n">
        <v>2200</v>
      </c>
      <c r="O390" s="16">
        <f>M390-N390</f>
        <v/>
      </c>
      <c r="P390" s="17">
        <f>IFERROR(O390/M390, 0)</f>
        <v/>
      </c>
      <c r="Q390" s="29" t="inlineStr">
        <is>
          <t>Processing</t>
        </is>
      </c>
    </row>
    <row r="391">
      <c r="A391" s="33" t="n">
        <v>203</v>
      </c>
      <c r="B391" s="33" t="inlineStr">
        <is>
          <t>2025-08-24</t>
        </is>
      </c>
      <c r="C391" s="34" t="inlineStr">
        <is>
          <t>Rhea Rao</t>
        </is>
      </c>
      <c r="D391" s="33" t="inlineStr">
        <is>
          <t>Central</t>
        </is>
      </c>
      <c r="E391" s="34" t="inlineStr">
        <is>
          <t>Bhopal</t>
        </is>
      </c>
      <c r="F391" s="34" t="inlineStr">
        <is>
          <t>Orthopedic Memory Foam Pillow</t>
        </is>
      </c>
      <c r="G391" s="33" t="inlineStr">
        <is>
          <t>Home &amp; Living</t>
        </is>
      </c>
      <c r="H391" s="35" t="n">
        <v>2</v>
      </c>
      <c r="I391" s="20" t="n">
        <v>1799</v>
      </c>
      <c r="J391" s="36" t="n">
        <v>0.12</v>
      </c>
      <c r="K391" s="20">
        <f>H391*I391</f>
        <v/>
      </c>
      <c r="L391" s="20">
        <f>K391*J391</f>
        <v/>
      </c>
      <c r="M391" s="20">
        <f>K391-L391</f>
        <v/>
      </c>
      <c r="N391" s="20" t="n">
        <v>1900</v>
      </c>
      <c r="O391" s="20">
        <f>M391-N391</f>
        <v/>
      </c>
      <c r="P391" s="21">
        <f>IFERROR(O391/M391, 0)</f>
        <v/>
      </c>
      <c r="Q391" s="33" t="inlineStr">
        <is>
          <t>Delivered</t>
        </is>
      </c>
    </row>
    <row r="392">
      <c r="A392" s="29" t="n">
        <v>204</v>
      </c>
      <c r="B392" s="29" t="inlineStr">
        <is>
          <t>2024-12-06</t>
        </is>
      </c>
      <c r="C392" s="30" t="inlineStr">
        <is>
          <t>Gaurav Iyer</t>
        </is>
      </c>
      <c r="D392" s="29" t="inlineStr">
        <is>
          <t>West</t>
        </is>
      </c>
      <c r="E392" s="30" t="inlineStr">
        <is>
          <t>Ahmedabad</t>
        </is>
      </c>
      <c r="F392" s="30" t="inlineStr">
        <is>
          <t>Double Bed Pure Cotton Bedsheet</t>
        </is>
      </c>
      <c r="G392" s="29" t="inlineStr">
        <is>
          <t>Home &amp; Living</t>
        </is>
      </c>
      <c r="H392" s="31" t="n">
        <v>1</v>
      </c>
      <c r="I392" s="16" t="n">
        <v>1599</v>
      </c>
      <c r="J392" s="32" t="n">
        <v>0</v>
      </c>
      <c r="K392" s="16">
        <f>H392*I392</f>
        <v/>
      </c>
      <c r="L392" s="16">
        <f>K392*J392</f>
        <v/>
      </c>
      <c r="M392" s="16">
        <f>K392-L392</f>
        <v/>
      </c>
      <c r="N392" s="16" t="n">
        <v>780</v>
      </c>
      <c r="O392" s="16">
        <f>M392-N392</f>
        <v/>
      </c>
      <c r="P392" s="17">
        <f>IFERROR(O392/M392, 0)</f>
        <v/>
      </c>
      <c r="Q392" s="29" t="inlineStr">
        <is>
          <t>Delivered</t>
        </is>
      </c>
    </row>
    <row r="393">
      <c r="A393" s="33" t="n">
        <v>205</v>
      </c>
      <c r="B393" s="33" t="inlineStr">
        <is>
          <t>2025-09-27</t>
        </is>
      </c>
      <c r="C393" s="34" t="inlineStr">
        <is>
          <t>Manoj Gupta</t>
        </is>
      </c>
      <c r="D393" s="33" t="inlineStr">
        <is>
          <t>North</t>
        </is>
      </c>
      <c r="E393" s="34" t="inlineStr">
        <is>
          <t>Lucknow</t>
        </is>
      </c>
      <c r="F393" s="34" t="inlineStr">
        <is>
          <t>Stainless Steel Electric Kettle 1.8L</t>
        </is>
      </c>
      <c r="G393" s="33" t="inlineStr">
        <is>
          <t>Home &amp; Living</t>
        </is>
      </c>
      <c r="H393" s="35" t="n">
        <v>1</v>
      </c>
      <c r="I393" s="20" t="n">
        <v>1299</v>
      </c>
      <c r="J393" s="36" t="n">
        <v>0.1</v>
      </c>
      <c r="K393" s="20">
        <f>H393*I393</f>
        <v/>
      </c>
      <c r="L393" s="20">
        <f>K393*J393</f>
        <v/>
      </c>
      <c r="M393" s="20">
        <f>K393-L393</f>
        <v/>
      </c>
      <c r="N393" s="20" t="n">
        <v>720</v>
      </c>
      <c r="O393" s="20">
        <f>M393-N393</f>
        <v/>
      </c>
      <c r="P393" s="21">
        <f>IFERROR(O393/M393, 0)</f>
        <v/>
      </c>
      <c r="Q393" s="33" t="inlineStr">
        <is>
          <t>Delivered</t>
        </is>
      </c>
    </row>
    <row r="394">
      <c r="A394" s="29" t="n">
        <v>206</v>
      </c>
      <c r="B394" s="29" t="inlineStr">
        <is>
          <t>2024-12-12</t>
        </is>
      </c>
      <c r="C394" s="30" t="inlineStr">
        <is>
          <t>Harsh Iyer</t>
        </is>
      </c>
      <c r="D394" s="29" t="inlineStr">
        <is>
          <t>North</t>
        </is>
      </c>
      <c r="E394" s="30" t="inlineStr">
        <is>
          <t>Lucknow</t>
        </is>
      </c>
      <c r="F394" s="30" t="inlineStr">
        <is>
          <t>Cold-Pressed Extra Virgin Olive Oil 1L</t>
        </is>
      </c>
      <c r="G394" s="29" t="inlineStr">
        <is>
          <t>Groceries</t>
        </is>
      </c>
      <c r="H394" s="31" t="n">
        <v>1</v>
      </c>
      <c r="I394" s="16" t="n">
        <v>1199</v>
      </c>
      <c r="J394" s="32" t="n">
        <v>0.12</v>
      </c>
      <c r="K394" s="16">
        <f>H394*I394</f>
        <v/>
      </c>
      <c r="L394" s="16">
        <f>K394*J394</f>
        <v/>
      </c>
      <c r="M394" s="16">
        <f>K394-L394</f>
        <v/>
      </c>
      <c r="N394" s="16" t="n">
        <v>780</v>
      </c>
      <c r="O394" s="16">
        <f>M394-N394</f>
        <v/>
      </c>
      <c r="P394" s="17">
        <f>IFERROR(O394/M394, 0)</f>
        <v/>
      </c>
      <c r="Q394" s="29" t="inlineStr">
        <is>
          <t>Processing</t>
        </is>
      </c>
    </row>
    <row r="395">
      <c r="A395" s="33" t="n">
        <v>206</v>
      </c>
      <c r="B395" s="33" t="inlineStr">
        <is>
          <t>2024-12-12</t>
        </is>
      </c>
      <c r="C395" s="34" t="inlineStr">
        <is>
          <t>Harsh Iyer</t>
        </is>
      </c>
      <c r="D395" s="33" t="inlineStr">
        <is>
          <t>North</t>
        </is>
      </c>
      <c r="E395" s="34" t="inlineStr">
        <is>
          <t>Lucknow</t>
        </is>
      </c>
      <c r="F395" s="34" t="inlineStr">
        <is>
          <t>Smart Fitness Watch Pro</t>
        </is>
      </c>
      <c r="G395" s="33" t="inlineStr">
        <is>
          <t>Electronics</t>
        </is>
      </c>
      <c r="H395" s="35" t="n">
        <v>1</v>
      </c>
      <c r="I395" s="20" t="n">
        <v>4999</v>
      </c>
      <c r="J395" s="36" t="n">
        <v>0</v>
      </c>
      <c r="K395" s="20">
        <f>H395*I395</f>
        <v/>
      </c>
      <c r="L395" s="20">
        <f>K395*J395</f>
        <v/>
      </c>
      <c r="M395" s="20">
        <f>K395-L395</f>
        <v/>
      </c>
      <c r="N395" s="20" t="n">
        <v>3200</v>
      </c>
      <c r="O395" s="20">
        <f>M395-N395</f>
        <v/>
      </c>
      <c r="P395" s="21">
        <f>IFERROR(O395/M395, 0)</f>
        <v/>
      </c>
      <c r="Q395" s="33" t="inlineStr">
        <is>
          <t>Processing</t>
        </is>
      </c>
    </row>
    <row r="396">
      <c r="A396" s="29" t="n">
        <v>206</v>
      </c>
      <c r="B396" s="29" t="inlineStr">
        <is>
          <t>2024-12-12</t>
        </is>
      </c>
      <c r="C396" s="30" t="inlineStr">
        <is>
          <t>Harsh Iyer</t>
        </is>
      </c>
      <c r="D396" s="29" t="inlineStr">
        <is>
          <t>North</t>
        </is>
      </c>
      <c r="E396" s="30" t="inlineStr">
        <is>
          <t>Lucknow</t>
        </is>
      </c>
      <c r="F396" s="30" t="inlineStr">
        <is>
          <t>Anti-Skid Yoga Mat 6mm</t>
        </is>
      </c>
      <c r="G396" s="29" t="inlineStr">
        <is>
          <t>Sports</t>
        </is>
      </c>
      <c r="H396" s="31" t="n">
        <v>2</v>
      </c>
      <c r="I396" s="16" t="n">
        <v>999</v>
      </c>
      <c r="J396" s="32" t="n">
        <v>0</v>
      </c>
      <c r="K396" s="16">
        <f>H396*I396</f>
        <v/>
      </c>
      <c r="L396" s="16">
        <f>K396*J396</f>
        <v/>
      </c>
      <c r="M396" s="16">
        <f>K396-L396</f>
        <v/>
      </c>
      <c r="N396" s="16" t="n">
        <v>960</v>
      </c>
      <c r="O396" s="16">
        <f>M396-N396</f>
        <v/>
      </c>
      <c r="P396" s="17">
        <f>IFERROR(O396/M396, 0)</f>
        <v/>
      </c>
      <c r="Q396" s="29" t="inlineStr">
        <is>
          <t>Processing</t>
        </is>
      </c>
    </row>
    <row r="397">
      <c r="A397" s="33" t="n">
        <v>206</v>
      </c>
      <c r="B397" s="33" t="inlineStr">
        <is>
          <t>2024-12-12</t>
        </is>
      </c>
      <c r="C397" s="34" t="inlineStr">
        <is>
          <t>Harsh Iyer</t>
        </is>
      </c>
      <c r="D397" s="33" t="inlineStr">
        <is>
          <t>North</t>
        </is>
      </c>
      <c r="E397" s="34" t="inlineStr">
        <is>
          <t>Lucknow</t>
        </is>
      </c>
      <c r="F397" s="34" t="inlineStr">
        <is>
          <t>Orthopedic Memory Foam Pillow</t>
        </is>
      </c>
      <c r="G397" s="33" t="inlineStr">
        <is>
          <t>Home &amp; Living</t>
        </is>
      </c>
      <c r="H397" s="35" t="n">
        <v>2</v>
      </c>
      <c r="I397" s="20" t="n">
        <v>1799</v>
      </c>
      <c r="J397" s="36" t="n">
        <v>0.2</v>
      </c>
      <c r="K397" s="20">
        <f>H397*I397</f>
        <v/>
      </c>
      <c r="L397" s="20">
        <f>K397*J397</f>
        <v/>
      </c>
      <c r="M397" s="20">
        <f>K397-L397</f>
        <v/>
      </c>
      <c r="N397" s="20" t="n">
        <v>1900</v>
      </c>
      <c r="O397" s="20">
        <f>M397-N397</f>
        <v/>
      </c>
      <c r="P397" s="21">
        <f>IFERROR(O397/M397, 0)</f>
        <v/>
      </c>
      <c r="Q397" s="33" t="inlineStr">
        <is>
          <t>Processing</t>
        </is>
      </c>
    </row>
    <row r="398">
      <c r="A398" s="29" t="n">
        <v>207</v>
      </c>
      <c r="B398" s="29" t="inlineStr">
        <is>
          <t>2025-04-02</t>
        </is>
      </c>
      <c r="C398" s="30" t="inlineStr">
        <is>
          <t>Rohit Sharma</t>
        </is>
      </c>
      <c r="D398" s="29" t="inlineStr">
        <is>
          <t>North</t>
        </is>
      </c>
      <c r="E398" s="30" t="inlineStr">
        <is>
          <t>Noida</t>
        </is>
      </c>
      <c r="F398" s="30" t="inlineStr">
        <is>
          <t>Cold-Pressed Extra Virgin Olive Oil 1L</t>
        </is>
      </c>
      <c r="G398" s="29" t="inlineStr">
        <is>
          <t>Groceries</t>
        </is>
      </c>
      <c r="H398" s="31" t="n">
        <v>1</v>
      </c>
      <c r="I398" s="16" t="n">
        <v>1199</v>
      </c>
      <c r="J398" s="32" t="n">
        <v>0.2</v>
      </c>
      <c r="K398" s="16">
        <f>H398*I398</f>
        <v/>
      </c>
      <c r="L398" s="16">
        <f>K398*J398</f>
        <v/>
      </c>
      <c r="M398" s="16">
        <f>K398-L398</f>
        <v/>
      </c>
      <c r="N398" s="16" t="n">
        <v>780</v>
      </c>
      <c r="O398" s="16">
        <f>M398-N398</f>
        <v/>
      </c>
      <c r="P398" s="17">
        <f>IFERROR(O398/M398, 0)</f>
        <v/>
      </c>
      <c r="Q398" s="29" t="inlineStr">
        <is>
          <t>Delivered</t>
        </is>
      </c>
    </row>
    <row r="399">
      <c r="A399" s="33" t="n">
        <v>207</v>
      </c>
      <c r="B399" s="33" t="inlineStr">
        <is>
          <t>2025-04-02</t>
        </is>
      </c>
      <c r="C399" s="34" t="inlineStr">
        <is>
          <t>Rohit Sharma</t>
        </is>
      </c>
      <c r="D399" s="33" t="inlineStr">
        <is>
          <t>North</t>
        </is>
      </c>
      <c r="E399" s="34" t="inlineStr">
        <is>
          <t>Noida</t>
        </is>
      </c>
      <c r="F399" s="34" t="inlineStr">
        <is>
          <t>Double Bed Pure Cotton Bedsheet</t>
        </is>
      </c>
      <c r="G399" s="33" t="inlineStr">
        <is>
          <t>Home &amp; Living</t>
        </is>
      </c>
      <c r="H399" s="35" t="n">
        <v>1</v>
      </c>
      <c r="I399" s="20" t="n">
        <v>1599</v>
      </c>
      <c r="J399" s="36" t="n">
        <v>0.1</v>
      </c>
      <c r="K399" s="20">
        <f>H399*I399</f>
        <v/>
      </c>
      <c r="L399" s="20">
        <f>K399*J399</f>
        <v/>
      </c>
      <c r="M399" s="20">
        <f>K399-L399</f>
        <v/>
      </c>
      <c r="N399" s="20" t="n">
        <v>780</v>
      </c>
      <c r="O399" s="20">
        <f>M399-N399</f>
        <v/>
      </c>
      <c r="P399" s="21">
        <f>IFERROR(O399/M399, 0)</f>
        <v/>
      </c>
      <c r="Q399" s="33" t="inlineStr">
        <is>
          <t>Delivered</t>
        </is>
      </c>
    </row>
    <row r="400">
      <c r="A400" s="29" t="n">
        <v>208</v>
      </c>
      <c r="B400" s="29" t="inlineStr">
        <is>
          <t>2025-01-19</t>
        </is>
      </c>
      <c r="C400" s="30" t="inlineStr">
        <is>
          <t>Simran Patel</t>
        </is>
      </c>
      <c r="D400" s="29" t="inlineStr">
        <is>
          <t>North</t>
        </is>
      </c>
      <c r="E400" s="30" t="inlineStr">
        <is>
          <t>Delhi</t>
        </is>
      </c>
      <c r="F400" s="30" t="inlineStr">
        <is>
          <t>Skipping Rope with Digital Counter</t>
        </is>
      </c>
      <c r="G400" s="29" t="inlineStr">
        <is>
          <t>Sports</t>
        </is>
      </c>
      <c r="H400" s="31" t="n">
        <v>2</v>
      </c>
      <c r="I400" s="16" t="n">
        <v>499</v>
      </c>
      <c r="J400" s="32" t="n">
        <v>0</v>
      </c>
      <c r="K400" s="16">
        <f>H400*I400</f>
        <v/>
      </c>
      <c r="L400" s="16">
        <f>K400*J400</f>
        <v/>
      </c>
      <c r="M400" s="16">
        <f>K400-L400</f>
        <v/>
      </c>
      <c r="N400" s="16" t="n">
        <v>420</v>
      </c>
      <c r="O400" s="16">
        <f>M400-N400</f>
        <v/>
      </c>
      <c r="P400" s="17">
        <f>IFERROR(O400/M400, 0)</f>
        <v/>
      </c>
      <c r="Q400" s="29" t="inlineStr">
        <is>
          <t>Delivered</t>
        </is>
      </c>
    </row>
    <row r="401">
      <c r="A401" s="33" t="n">
        <v>209</v>
      </c>
      <c r="B401" s="33" t="inlineStr">
        <is>
          <t>2025-06-03</t>
        </is>
      </c>
      <c r="C401" s="34" t="inlineStr">
        <is>
          <t>Sunil Agarwal</t>
        </is>
      </c>
      <c r="D401" s="33" t="inlineStr">
        <is>
          <t>East</t>
        </is>
      </c>
      <c r="E401" s="34" t="inlineStr">
        <is>
          <t>Guwahati</t>
        </is>
      </c>
      <c r="F401" s="34" t="inlineStr">
        <is>
          <t>Ultra HD Smart LED TV 55-inch</t>
        </is>
      </c>
      <c r="G401" s="33" t="inlineStr">
        <is>
          <t>Electronics</t>
        </is>
      </c>
      <c r="H401" s="35" t="n">
        <v>1</v>
      </c>
      <c r="I401" s="20" t="n">
        <v>42999</v>
      </c>
      <c r="J401" s="36" t="n">
        <v>0</v>
      </c>
      <c r="K401" s="20">
        <f>H401*I401</f>
        <v/>
      </c>
      <c r="L401" s="20">
        <f>K401*J401</f>
        <v/>
      </c>
      <c r="M401" s="20">
        <f>K401-L401</f>
        <v/>
      </c>
      <c r="N401" s="20" t="n">
        <v>31000</v>
      </c>
      <c r="O401" s="20">
        <f>M401-N401</f>
        <v/>
      </c>
      <c r="P401" s="21">
        <f>IFERROR(O401/M401, 0)</f>
        <v/>
      </c>
      <c r="Q401" s="33" t="inlineStr">
        <is>
          <t>Shipped</t>
        </is>
      </c>
    </row>
    <row r="402">
      <c r="A402" s="29" t="n">
        <v>209</v>
      </c>
      <c r="B402" s="29" t="inlineStr">
        <is>
          <t>2025-06-03</t>
        </is>
      </c>
      <c r="C402" s="30" t="inlineStr">
        <is>
          <t>Sunil Agarwal</t>
        </is>
      </c>
      <c r="D402" s="29" t="inlineStr">
        <is>
          <t>East</t>
        </is>
      </c>
      <c r="E402" s="30" t="inlineStr">
        <is>
          <t>Guwahati</t>
        </is>
      </c>
      <c r="F402" s="30" t="inlineStr">
        <is>
          <t>Women Floral Embroidered Kurti</t>
        </is>
      </c>
      <c r="G402" s="29" t="inlineStr">
        <is>
          <t>Fashion</t>
        </is>
      </c>
      <c r="H402" s="31" t="n">
        <v>1</v>
      </c>
      <c r="I402" s="16" t="n">
        <v>1899</v>
      </c>
      <c r="J402" s="32" t="n">
        <v>0.1</v>
      </c>
      <c r="K402" s="16">
        <f>H402*I402</f>
        <v/>
      </c>
      <c r="L402" s="16">
        <f>K402*J402</f>
        <v/>
      </c>
      <c r="M402" s="16">
        <f>K402-L402</f>
        <v/>
      </c>
      <c r="N402" s="16" t="n">
        <v>800</v>
      </c>
      <c r="O402" s="16">
        <f>M402-N402</f>
        <v/>
      </c>
      <c r="P402" s="17">
        <f>IFERROR(O402/M402, 0)</f>
        <v/>
      </c>
      <c r="Q402" s="29" t="inlineStr">
        <is>
          <t>Shipped</t>
        </is>
      </c>
    </row>
    <row r="403">
      <c r="A403" s="33" t="n">
        <v>210</v>
      </c>
      <c r="B403" s="33" t="inlineStr">
        <is>
          <t>2025-10-11</t>
        </is>
      </c>
      <c r="C403" s="34" t="inlineStr">
        <is>
          <t>Rohit Mehta</t>
        </is>
      </c>
      <c r="D403" s="33" t="inlineStr">
        <is>
          <t>South</t>
        </is>
      </c>
      <c r="E403" s="34" t="inlineStr">
        <is>
          <t>Chennai</t>
        </is>
      </c>
      <c r="F403" s="34" t="inlineStr">
        <is>
          <t>Women Floral Embroidered Kurti</t>
        </is>
      </c>
      <c r="G403" s="33" t="inlineStr">
        <is>
          <t>Fashion</t>
        </is>
      </c>
      <c r="H403" s="35" t="n">
        <v>1</v>
      </c>
      <c r="I403" s="20" t="n">
        <v>1899</v>
      </c>
      <c r="J403" s="36" t="n">
        <v>0</v>
      </c>
      <c r="K403" s="20">
        <f>H403*I403</f>
        <v/>
      </c>
      <c r="L403" s="20">
        <f>K403*J403</f>
        <v/>
      </c>
      <c r="M403" s="20">
        <f>K403-L403</f>
        <v/>
      </c>
      <c r="N403" s="20" t="n">
        <v>800</v>
      </c>
      <c r="O403" s="20">
        <f>M403-N403</f>
        <v/>
      </c>
      <c r="P403" s="21">
        <f>IFERROR(O403/M403, 0)</f>
        <v/>
      </c>
      <c r="Q403" s="33" t="inlineStr">
        <is>
          <t>Processing</t>
        </is>
      </c>
    </row>
    <row r="404">
      <c r="A404" s="29" t="n">
        <v>210</v>
      </c>
      <c r="B404" s="29" t="inlineStr">
        <is>
          <t>2025-10-11</t>
        </is>
      </c>
      <c r="C404" s="30" t="inlineStr">
        <is>
          <t>Rohit Mehta</t>
        </is>
      </c>
      <c r="D404" s="29" t="inlineStr">
        <is>
          <t>South</t>
        </is>
      </c>
      <c r="E404" s="30" t="inlineStr">
        <is>
          <t>Chennai</t>
        </is>
      </c>
      <c r="F404" s="30" t="inlineStr">
        <is>
          <t>Skipping Rope with Digital Counter</t>
        </is>
      </c>
      <c r="G404" s="29" t="inlineStr">
        <is>
          <t>Sports</t>
        </is>
      </c>
      <c r="H404" s="31" t="n">
        <v>1</v>
      </c>
      <c r="I404" s="16" t="n">
        <v>499</v>
      </c>
      <c r="J404" s="32" t="n">
        <v>0.2</v>
      </c>
      <c r="K404" s="16">
        <f>H404*I404</f>
        <v/>
      </c>
      <c r="L404" s="16">
        <f>K404*J404</f>
        <v/>
      </c>
      <c r="M404" s="16">
        <f>K404-L404</f>
        <v/>
      </c>
      <c r="N404" s="16" t="n">
        <v>210</v>
      </c>
      <c r="O404" s="16">
        <f>M404-N404</f>
        <v/>
      </c>
      <c r="P404" s="17">
        <f>IFERROR(O404/M404, 0)</f>
        <v/>
      </c>
      <c r="Q404" s="29" t="inlineStr">
        <is>
          <t>Processing</t>
        </is>
      </c>
    </row>
    <row r="405">
      <c r="A405" s="33" t="n">
        <v>210</v>
      </c>
      <c r="B405" s="33" t="inlineStr">
        <is>
          <t>2025-10-11</t>
        </is>
      </c>
      <c r="C405" s="34" t="inlineStr">
        <is>
          <t>Rohit Mehta</t>
        </is>
      </c>
      <c r="D405" s="33" t="inlineStr">
        <is>
          <t>South</t>
        </is>
      </c>
      <c r="E405" s="34" t="inlineStr">
        <is>
          <t>Chennai</t>
        </is>
      </c>
      <c r="F405" s="34" t="inlineStr">
        <is>
          <t>Wireless Noise-Cancelling Headphones</t>
        </is>
      </c>
      <c r="G405" s="33" t="inlineStr">
        <is>
          <t>Electronics</t>
        </is>
      </c>
      <c r="H405" s="35" t="n">
        <v>3</v>
      </c>
      <c r="I405" s="20" t="n">
        <v>7499</v>
      </c>
      <c r="J405" s="36" t="n">
        <v>0</v>
      </c>
      <c r="K405" s="20">
        <f>H405*I405</f>
        <v/>
      </c>
      <c r="L405" s="20">
        <f>K405*J405</f>
        <v/>
      </c>
      <c r="M405" s="20">
        <f>K405-L405</f>
        <v/>
      </c>
      <c r="N405" s="20" t="n">
        <v>14400</v>
      </c>
      <c r="O405" s="20">
        <f>M405-N405</f>
        <v/>
      </c>
      <c r="P405" s="21">
        <f>IFERROR(O405/M405, 0)</f>
        <v/>
      </c>
      <c r="Q405" s="33" t="inlineStr">
        <is>
          <t>Processing</t>
        </is>
      </c>
    </row>
    <row r="406">
      <c r="A406" s="29" t="n">
        <v>211</v>
      </c>
      <c r="B406" s="29" t="inlineStr">
        <is>
          <t>2025-07-16</t>
        </is>
      </c>
      <c r="C406" s="30" t="inlineStr">
        <is>
          <t>Vikram Nair</t>
        </is>
      </c>
      <c r="D406" s="29" t="inlineStr">
        <is>
          <t>Central</t>
        </is>
      </c>
      <c r="E406" s="30" t="inlineStr">
        <is>
          <t>Raipur</t>
        </is>
      </c>
      <c r="F406" s="30" t="inlineStr">
        <is>
          <t>Skipping Rope with Digital Counter</t>
        </is>
      </c>
      <c r="G406" s="29" t="inlineStr">
        <is>
          <t>Sports</t>
        </is>
      </c>
      <c r="H406" s="31" t="n">
        <v>1</v>
      </c>
      <c r="I406" s="16" t="n">
        <v>499</v>
      </c>
      <c r="J406" s="32" t="n">
        <v>0.12</v>
      </c>
      <c r="K406" s="16">
        <f>H406*I406</f>
        <v/>
      </c>
      <c r="L406" s="16">
        <f>K406*J406</f>
        <v/>
      </c>
      <c r="M406" s="16">
        <f>K406-L406</f>
        <v/>
      </c>
      <c r="N406" s="16" t="n">
        <v>210</v>
      </c>
      <c r="O406" s="16">
        <f>M406-N406</f>
        <v/>
      </c>
      <c r="P406" s="17">
        <f>IFERROR(O406/M406, 0)</f>
        <v/>
      </c>
      <c r="Q406" s="29" t="inlineStr">
        <is>
          <t>Delivered</t>
        </is>
      </c>
    </row>
    <row r="407">
      <c r="A407" s="33" t="n">
        <v>212</v>
      </c>
      <c r="B407" s="33" t="inlineStr">
        <is>
          <t>2025-10-11</t>
        </is>
      </c>
      <c r="C407" s="34" t="inlineStr">
        <is>
          <t>Rohit Mehta</t>
        </is>
      </c>
      <c r="D407" s="33" t="inlineStr">
        <is>
          <t>South</t>
        </is>
      </c>
      <c r="E407" s="34" t="inlineStr">
        <is>
          <t>Chennai</t>
        </is>
      </c>
      <c r="F407" s="34" t="inlineStr">
        <is>
          <t>Lightweight Running Sports Shoes</t>
        </is>
      </c>
      <c r="G407" s="33" t="inlineStr">
        <is>
          <t>Fashion</t>
        </is>
      </c>
      <c r="H407" s="35" t="n">
        <v>3</v>
      </c>
      <c r="I407" s="20" t="n">
        <v>3199</v>
      </c>
      <c r="J407" s="36" t="n">
        <v>0.15</v>
      </c>
      <c r="K407" s="20">
        <f>H407*I407</f>
        <v/>
      </c>
      <c r="L407" s="20">
        <f>K407*J407</f>
        <v/>
      </c>
      <c r="M407" s="20">
        <f>K407-L407</f>
        <v/>
      </c>
      <c r="N407" s="20" t="n">
        <v>4500</v>
      </c>
      <c r="O407" s="20">
        <f>M407-N407</f>
        <v/>
      </c>
      <c r="P407" s="21">
        <f>IFERROR(O407/M407, 0)</f>
        <v/>
      </c>
      <c r="Q407" s="33" t="inlineStr">
        <is>
          <t>Cancelled</t>
        </is>
      </c>
    </row>
    <row r="408">
      <c r="A408" s="29" t="n">
        <v>213</v>
      </c>
      <c r="B408" s="29" t="inlineStr">
        <is>
          <t>2025-02-22</t>
        </is>
      </c>
      <c r="C408" s="30" t="inlineStr">
        <is>
          <t>Tarun Agarwal</t>
        </is>
      </c>
      <c r="D408" s="29" t="inlineStr">
        <is>
          <t>North</t>
        </is>
      </c>
      <c r="E408" s="30" t="inlineStr">
        <is>
          <t>Lucknow</t>
        </is>
      </c>
      <c r="F408" s="30" t="inlineStr">
        <is>
          <t>Wireless Noise-Cancelling Headphones</t>
        </is>
      </c>
      <c r="G408" s="29" t="inlineStr">
        <is>
          <t>Electronics</t>
        </is>
      </c>
      <c r="H408" s="31" t="n">
        <v>1</v>
      </c>
      <c r="I408" s="16" t="n">
        <v>7499</v>
      </c>
      <c r="J408" s="32" t="n">
        <v>0.12</v>
      </c>
      <c r="K408" s="16">
        <f>H408*I408</f>
        <v/>
      </c>
      <c r="L408" s="16">
        <f>K408*J408</f>
        <v/>
      </c>
      <c r="M408" s="16">
        <f>K408-L408</f>
        <v/>
      </c>
      <c r="N408" s="16" t="n">
        <v>4800</v>
      </c>
      <c r="O408" s="16">
        <f>M408-N408</f>
        <v/>
      </c>
      <c r="P408" s="17">
        <f>IFERROR(O408/M408, 0)</f>
        <v/>
      </c>
      <c r="Q408" s="29" t="inlineStr">
        <is>
          <t>Delivered</t>
        </is>
      </c>
    </row>
    <row r="409">
      <c r="A409" s="33" t="n">
        <v>214</v>
      </c>
      <c r="B409" s="33" t="inlineStr">
        <is>
          <t>2025-01-29</t>
        </is>
      </c>
      <c r="C409" s="34" t="inlineStr">
        <is>
          <t>Gaurav Rao</t>
        </is>
      </c>
      <c r="D409" s="33" t="inlineStr">
        <is>
          <t>Central</t>
        </is>
      </c>
      <c r="E409" s="34" t="inlineStr">
        <is>
          <t>Gwalior</t>
        </is>
      </c>
      <c r="F409" s="34" t="inlineStr">
        <is>
          <t>Cold-Pressed Extra Virgin Olive Oil 1L</t>
        </is>
      </c>
      <c r="G409" s="33" t="inlineStr">
        <is>
          <t>Groceries</t>
        </is>
      </c>
      <c r="H409" s="35" t="n">
        <v>1</v>
      </c>
      <c r="I409" s="20" t="n">
        <v>1199</v>
      </c>
      <c r="J409" s="36" t="n">
        <v>0.05</v>
      </c>
      <c r="K409" s="20">
        <f>H409*I409</f>
        <v/>
      </c>
      <c r="L409" s="20">
        <f>K409*J409</f>
        <v/>
      </c>
      <c r="M409" s="20">
        <f>K409-L409</f>
        <v/>
      </c>
      <c r="N409" s="20" t="n">
        <v>780</v>
      </c>
      <c r="O409" s="20">
        <f>M409-N409</f>
        <v/>
      </c>
      <c r="P409" s="21">
        <f>IFERROR(O409/M409, 0)</f>
        <v/>
      </c>
      <c r="Q409" s="33" t="inlineStr">
        <is>
          <t>Processing</t>
        </is>
      </c>
    </row>
    <row r="410">
      <c r="A410" s="29" t="n">
        <v>214</v>
      </c>
      <c r="B410" s="29" t="inlineStr">
        <is>
          <t>2025-01-29</t>
        </is>
      </c>
      <c r="C410" s="30" t="inlineStr">
        <is>
          <t>Gaurav Rao</t>
        </is>
      </c>
      <c r="D410" s="29" t="inlineStr">
        <is>
          <t>Central</t>
        </is>
      </c>
      <c r="E410" s="30" t="inlineStr">
        <is>
          <t>Gwalior</t>
        </is>
      </c>
      <c r="F410" s="30" t="inlineStr">
        <is>
          <t>Multipurpose Desk Organizer Set</t>
        </is>
      </c>
      <c r="G410" s="29" t="inlineStr">
        <is>
          <t>Home &amp; Living</t>
        </is>
      </c>
      <c r="H410" s="31" t="n">
        <v>3</v>
      </c>
      <c r="I410" s="16" t="n">
        <v>699</v>
      </c>
      <c r="J410" s="32" t="n">
        <v>0.15</v>
      </c>
      <c r="K410" s="16">
        <f>H410*I410</f>
        <v/>
      </c>
      <c r="L410" s="16">
        <f>K410*J410</f>
        <v/>
      </c>
      <c r="M410" s="16">
        <f>K410-L410</f>
        <v/>
      </c>
      <c r="N410" s="16" t="n">
        <v>870</v>
      </c>
      <c r="O410" s="16">
        <f>M410-N410</f>
        <v/>
      </c>
      <c r="P410" s="17">
        <f>IFERROR(O410/M410, 0)</f>
        <v/>
      </c>
      <c r="Q410" s="29" t="inlineStr">
        <is>
          <t>Processing</t>
        </is>
      </c>
    </row>
    <row r="411">
      <c r="A411" s="33" t="n">
        <v>215</v>
      </c>
      <c r="B411" s="33" t="inlineStr">
        <is>
          <t>2025-07-27</t>
        </is>
      </c>
      <c r="C411" s="34" t="inlineStr">
        <is>
          <t>Harsh Iyer</t>
        </is>
      </c>
      <c r="D411" s="33" t="inlineStr">
        <is>
          <t>North</t>
        </is>
      </c>
      <c r="E411" s="34" t="inlineStr">
        <is>
          <t>Lucknow</t>
        </is>
      </c>
      <c r="F411" s="34" t="inlineStr">
        <is>
          <t>Double Bed Pure Cotton Bedsheet</t>
        </is>
      </c>
      <c r="G411" s="33" t="inlineStr">
        <is>
          <t>Home &amp; Living</t>
        </is>
      </c>
      <c r="H411" s="35" t="n">
        <v>1</v>
      </c>
      <c r="I411" s="20" t="n">
        <v>1599</v>
      </c>
      <c r="J411" s="36" t="n">
        <v>0</v>
      </c>
      <c r="K411" s="20">
        <f>H411*I411</f>
        <v/>
      </c>
      <c r="L411" s="20">
        <f>K411*J411</f>
        <v/>
      </c>
      <c r="M411" s="20">
        <f>K411-L411</f>
        <v/>
      </c>
      <c r="N411" s="20" t="n">
        <v>780</v>
      </c>
      <c r="O411" s="20">
        <f>M411-N411</f>
        <v/>
      </c>
      <c r="P411" s="21">
        <f>IFERROR(O411/M411, 0)</f>
        <v/>
      </c>
      <c r="Q411" s="33" t="inlineStr">
        <is>
          <t>Delivered</t>
        </is>
      </c>
    </row>
    <row r="412">
      <c r="A412" s="29" t="n">
        <v>215</v>
      </c>
      <c r="B412" s="29" t="inlineStr">
        <is>
          <t>2025-07-27</t>
        </is>
      </c>
      <c r="C412" s="30" t="inlineStr">
        <is>
          <t>Harsh Iyer</t>
        </is>
      </c>
      <c r="D412" s="29" t="inlineStr">
        <is>
          <t>North</t>
        </is>
      </c>
      <c r="E412" s="30" t="inlineStr">
        <is>
          <t>Lucknow</t>
        </is>
      </c>
      <c r="F412" s="30" t="inlineStr">
        <is>
          <t>Smart Fitness Watch Pro</t>
        </is>
      </c>
      <c r="G412" s="29" t="inlineStr">
        <is>
          <t>Electronics</t>
        </is>
      </c>
      <c r="H412" s="31" t="n">
        <v>2</v>
      </c>
      <c r="I412" s="16" t="n">
        <v>4999</v>
      </c>
      <c r="J412" s="32" t="n">
        <v>0.1</v>
      </c>
      <c r="K412" s="16">
        <f>H412*I412</f>
        <v/>
      </c>
      <c r="L412" s="16">
        <f>K412*J412</f>
        <v/>
      </c>
      <c r="M412" s="16">
        <f>K412-L412</f>
        <v/>
      </c>
      <c r="N412" s="16" t="n">
        <v>6400</v>
      </c>
      <c r="O412" s="16">
        <f>M412-N412</f>
        <v/>
      </c>
      <c r="P412" s="17">
        <f>IFERROR(O412/M412, 0)</f>
        <v/>
      </c>
      <c r="Q412" s="29" t="inlineStr">
        <is>
          <t>Delivered</t>
        </is>
      </c>
    </row>
    <row r="413">
      <c r="A413" s="33" t="n">
        <v>216</v>
      </c>
      <c r="B413" s="33" t="inlineStr">
        <is>
          <t>2025-02-24</t>
        </is>
      </c>
      <c r="C413" s="34" t="inlineStr">
        <is>
          <t>Ishaan Sharma</t>
        </is>
      </c>
      <c r="D413" s="33" t="inlineStr">
        <is>
          <t>North</t>
        </is>
      </c>
      <c r="E413" s="34" t="inlineStr">
        <is>
          <t>Gurgaon</t>
        </is>
      </c>
      <c r="F413" s="34" t="inlineStr">
        <is>
          <t>Smart Fitness Watch Pro</t>
        </is>
      </c>
      <c r="G413" s="33" t="inlineStr">
        <is>
          <t>Electronics</t>
        </is>
      </c>
      <c r="H413" s="35" t="n">
        <v>1</v>
      </c>
      <c r="I413" s="20" t="n">
        <v>4999</v>
      </c>
      <c r="J413" s="36" t="n">
        <v>0.1</v>
      </c>
      <c r="K413" s="20">
        <f>H413*I413</f>
        <v/>
      </c>
      <c r="L413" s="20">
        <f>K413*J413</f>
        <v/>
      </c>
      <c r="M413" s="20">
        <f>K413-L413</f>
        <v/>
      </c>
      <c r="N413" s="20" t="n">
        <v>3200</v>
      </c>
      <c r="O413" s="20">
        <f>M413-N413</f>
        <v/>
      </c>
      <c r="P413" s="21">
        <f>IFERROR(O413/M413, 0)</f>
        <v/>
      </c>
      <c r="Q413" s="33" t="inlineStr">
        <is>
          <t>Delivered</t>
        </is>
      </c>
    </row>
    <row r="414">
      <c r="A414" s="29" t="n">
        <v>216</v>
      </c>
      <c r="B414" s="29" t="inlineStr">
        <is>
          <t>2025-02-24</t>
        </is>
      </c>
      <c r="C414" s="30" t="inlineStr">
        <is>
          <t>Ishaan Sharma</t>
        </is>
      </c>
      <c r="D414" s="29" t="inlineStr">
        <is>
          <t>North</t>
        </is>
      </c>
      <c r="E414" s="30" t="inlineStr">
        <is>
          <t>Gurgaon</t>
        </is>
      </c>
      <c r="F414" s="30" t="inlineStr">
        <is>
          <t>Automatic Air Fryer 4.5L</t>
        </is>
      </c>
      <c r="G414" s="29" t="inlineStr">
        <is>
          <t>Home &amp; Living</t>
        </is>
      </c>
      <c r="H414" s="31" t="n">
        <v>1</v>
      </c>
      <c r="I414" s="16" t="n">
        <v>5499</v>
      </c>
      <c r="J414" s="32" t="n">
        <v>0</v>
      </c>
      <c r="K414" s="16">
        <f>H414*I414</f>
        <v/>
      </c>
      <c r="L414" s="16">
        <f>K414*J414</f>
        <v/>
      </c>
      <c r="M414" s="16">
        <f>K414-L414</f>
        <v/>
      </c>
      <c r="N414" s="16" t="n">
        <v>3600</v>
      </c>
      <c r="O414" s="16">
        <f>M414-N414</f>
        <v/>
      </c>
      <c r="P414" s="17">
        <f>IFERROR(O414/M414, 0)</f>
        <v/>
      </c>
      <c r="Q414" s="29" t="inlineStr">
        <is>
          <t>Delivered</t>
        </is>
      </c>
    </row>
    <row r="415">
      <c r="A415" s="33" t="n">
        <v>216</v>
      </c>
      <c r="B415" s="33" t="inlineStr">
        <is>
          <t>2025-02-24</t>
        </is>
      </c>
      <c r="C415" s="34" t="inlineStr">
        <is>
          <t>Ishaan Sharma</t>
        </is>
      </c>
      <c r="D415" s="33" t="inlineStr">
        <is>
          <t>North</t>
        </is>
      </c>
      <c r="E415" s="34" t="inlineStr">
        <is>
          <t>Gurgaon</t>
        </is>
      </c>
      <c r="F415" s="34" t="inlineStr">
        <is>
          <t>Wireless Noise-Cancelling Headphones</t>
        </is>
      </c>
      <c r="G415" s="33" t="inlineStr">
        <is>
          <t>Electronics</t>
        </is>
      </c>
      <c r="H415" s="35" t="n">
        <v>1</v>
      </c>
      <c r="I415" s="20" t="n">
        <v>7499</v>
      </c>
      <c r="J415" s="36" t="n">
        <v>0.05</v>
      </c>
      <c r="K415" s="20">
        <f>H415*I415</f>
        <v/>
      </c>
      <c r="L415" s="20">
        <f>K415*J415</f>
        <v/>
      </c>
      <c r="M415" s="20">
        <f>K415-L415</f>
        <v/>
      </c>
      <c r="N415" s="20" t="n">
        <v>4800</v>
      </c>
      <c r="O415" s="20">
        <f>M415-N415</f>
        <v/>
      </c>
      <c r="P415" s="21">
        <f>IFERROR(O415/M415, 0)</f>
        <v/>
      </c>
      <c r="Q415" s="33" t="inlineStr">
        <is>
          <t>Delivered</t>
        </is>
      </c>
    </row>
    <row r="416">
      <c r="A416" s="29" t="n">
        <v>217</v>
      </c>
      <c r="B416" s="29" t="inlineStr">
        <is>
          <t>2025-04-19</t>
        </is>
      </c>
      <c r="C416" s="30" t="inlineStr">
        <is>
          <t>Anjali Rao</t>
        </is>
      </c>
      <c r="D416" s="29" t="inlineStr">
        <is>
          <t>East</t>
        </is>
      </c>
      <c r="E416" s="30" t="inlineStr">
        <is>
          <t>Kolkata</t>
        </is>
      </c>
      <c r="F416" s="30" t="inlineStr">
        <is>
          <t>Automatic Air Fryer 4.5L</t>
        </is>
      </c>
      <c r="G416" s="29" t="inlineStr">
        <is>
          <t>Home &amp; Living</t>
        </is>
      </c>
      <c r="H416" s="31" t="n">
        <v>2</v>
      </c>
      <c r="I416" s="16" t="n">
        <v>5499</v>
      </c>
      <c r="J416" s="32" t="n">
        <v>0</v>
      </c>
      <c r="K416" s="16">
        <f>H416*I416</f>
        <v/>
      </c>
      <c r="L416" s="16">
        <f>K416*J416</f>
        <v/>
      </c>
      <c r="M416" s="16">
        <f>K416-L416</f>
        <v/>
      </c>
      <c r="N416" s="16" t="n">
        <v>7200</v>
      </c>
      <c r="O416" s="16">
        <f>M416-N416</f>
        <v/>
      </c>
      <c r="P416" s="17">
        <f>IFERROR(O416/M416, 0)</f>
        <v/>
      </c>
      <c r="Q416" s="29" t="inlineStr">
        <is>
          <t>Processing</t>
        </is>
      </c>
    </row>
    <row r="417">
      <c r="A417" s="33" t="n">
        <v>218</v>
      </c>
      <c r="B417" s="33" t="inlineStr">
        <is>
          <t>2025-02-06</t>
        </is>
      </c>
      <c r="C417" s="34" t="inlineStr">
        <is>
          <t>Harsh Singh</t>
        </is>
      </c>
      <c r="D417" s="33" t="inlineStr">
        <is>
          <t>West</t>
        </is>
      </c>
      <c r="E417" s="34" t="inlineStr">
        <is>
          <t>Ahmedabad</t>
        </is>
      </c>
      <c r="F417" s="34" t="inlineStr">
        <is>
          <t>Adjustable Dumbbell Set 20kg</t>
        </is>
      </c>
      <c r="G417" s="33" t="inlineStr">
        <is>
          <t>Sports</t>
        </is>
      </c>
      <c r="H417" s="35" t="n">
        <v>2</v>
      </c>
      <c r="I417" s="20" t="n">
        <v>4299</v>
      </c>
      <c r="J417" s="36" t="n">
        <v>0</v>
      </c>
      <c r="K417" s="20">
        <f>H417*I417</f>
        <v/>
      </c>
      <c r="L417" s="20">
        <f>K417*J417</f>
        <v/>
      </c>
      <c r="M417" s="20">
        <f>K417-L417</f>
        <v/>
      </c>
      <c r="N417" s="20" t="n">
        <v>5200</v>
      </c>
      <c r="O417" s="20">
        <f>M417-N417</f>
        <v/>
      </c>
      <c r="P417" s="21">
        <f>IFERROR(O417/M417, 0)</f>
        <v/>
      </c>
      <c r="Q417" s="33" t="inlineStr">
        <is>
          <t>Delivered</t>
        </is>
      </c>
    </row>
    <row r="418">
      <c r="A418" s="29" t="n">
        <v>219</v>
      </c>
      <c r="B418" s="29" t="inlineStr">
        <is>
          <t>2025-02-05</t>
        </is>
      </c>
      <c r="C418" s="30" t="inlineStr">
        <is>
          <t>Sneha Saxena</t>
        </is>
      </c>
      <c r="D418" s="29" t="inlineStr">
        <is>
          <t>West</t>
        </is>
      </c>
      <c r="E418" s="30" t="inlineStr">
        <is>
          <t>Nagpur</t>
        </is>
      </c>
      <c r="F418" s="30" t="inlineStr">
        <is>
          <t>Skipping Rope with Digital Counter</t>
        </is>
      </c>
      <c r="G418" s="29" t="inlineStr">
        <is>
          <t>Sports</t>
        </is>
      </c>
      <c r="H418" s="31" t="n">
        <v>1</v>
      </c>
      <c r="I418" s="16" t="n">
        <v>499</v>
      </c>
      <c r="J418" s="32" t="n">
        <v>0.1</v>
      </c>
      <c r="K418" s="16">
        <f>H418*I418</f>
        <v/>
      </c>
      <c r="L418" s="16">
        <f>K418*J418</f>
        <v/>
      </c>
      <c r="M418" s="16">
        <f>K418-L418</f>
        <v/>
      </c>
      <c r="N418" s="16" t="n">
        <v>210</v>
      </c>
      <c r="O418" s="16">
        <f>M418-N418</f>
        <v/>
      </c>
      <c r="P418" s="17">
        <f>IFERROR(O418/M418, 0)</f>
        <v/>
      </c>
      <c r="Q418" s="29" t="inlineStr">
        <is>
          <t>Cancelled</t>
        </is>
      </c>
    </row>
    <row r="419">
      <c r="A419" s="33" t="n">
        <v>219</v>
      </c>
      <c r="B419" s="33" t="inlineStr">
        <is>
          <t>2025-02-05</t>
        </is>
      </c>
      <c r="C419" s="34" t="inlineStr">
        <is>
          <t>Sneha Saxena</t>
        </is>
      </c>
      <c r="D419" s="33" t="inlineStr">
        <is>
          <t>West</t>
        </is>
      </c>
      <c r="E419" s="34" t="inlineStr">
        <is>
          <t>Nagpur</t>
        </is>
      </c>
      <c r="F419" s="34" t="inlineStr">
        <is>
          <t>Adjustable Dumbbell Set 20kg</t>
        </is>
      </c>
      <c r="G419" s="33" t="inlineStr">
        <is>
          <t>Sports</t>
        </is>
      </c>
      <c r="H419" s="35" t="n">
        <v>1</v>
      </c>
      <c r="I419" s="20" t="n">
        <v>4299</v>
      </c>
      <c r="J419" s="36" t="n">
        <v>0.05</v>
      </c>
      <c r="K419" s="20">
        <f>H419*I419</f>
        <v/>
      </c>
      <c r="L419" s="20">
        <f>K419*J419</f>
        <v/>
      </c>
      <c r="M419" s="20">
        <f>K419-L419</f>
        <v/>
      </c>
      <c r="N419" s="20" t="n">
        <v>2600</v>
      </c>
      <c r="O419" s="20">
        <f>M419-N419</f>
        <v/>
      </c>
      <c r="P419" s="21">
        <f>IFERROR(O419/M419, 0)</f>
        <v/>
      </c>
      <c r="Q419" s="33" t="inlineStr">
        <is>
          <t>Cancelled</t>
        </is>
      </c>
    </row>
    <row r="420">
      <c r="A420" s="29" t="n">
        <v>220</v>
      </c>
      <c r="B420" s="29" t="inlineStr">
        <is>
          <t>2024-11-08</t>
        </is>
      </c>
      <c r="C420" s="30" t="inlineStr">
        <is>
          <t>Kiran Gupta</t>
        </is>
      </c>
      <c r="D420" s="29" t="inlineStr">
        <is>
          <t>North</t>
        </is>
      </c>
      <c r="E420" s="30" t="inlineStr">
        <is>
          <t>Delhi</t>
        </is>
      </c>
      <c r="F420" s="30" t="inlineStr">
        <is>
          <t>Skipping Rope with Digital Counter</t>
        </is>
      </c>
      <c r="G420" s="29" t="inlineStr">
        <is>
          <t>Sports</t>
        </is>
      </c>
      <c r="H420" s="31" t="n">
        <v>3</v>
      </c>
      <c r="I420" s="16" t="n">
        <v>499</v>
      </c>
      <c r="J420" s="32" t="n">
        <v>0.15</v>
      </c>
      <c r="K420" s="16">
        <f>H420*I420</f>
        <v/>
      </c>
      <c r="L420" s="16">
        <f>K420*J420</f>
        <v/>
      </c>
      <c r="M420" s="16">
        <f>K420-L420</f>
        <v/>
      </c>
      <c r="N420" s="16" t="n">
        <v>630</v>
      </c>
      <c r="O420" s="16">
        <f>M420-N420</f>
        <v/>
      </c>
      <c r="P420" s="17">
        <f>IFERROR(O420/M420, 0)</f>
        <v/>
      </c>
      <c r="Q420" s="29" t="inlineStr">
        <is>
          <t>Delivered</t>
        </is>
      </c>
    </row>
    <row r="421">
      <c r="A421" s="33" t="n">
        <v>220</v>
      </c>
      <c r="B421" s="33" t="inlineStr">
        <is>
          <t>2024-11-08</t>
        </is>
      </c>
      <c r="C421" s="34" t="inlineStr">
        <is>
          <t>Kiran Gupta</t>
        </is>
      </c>
      <c r="D421" s="33" t="inlineStr">
        <is>
          <t>North</t>
        </is>
      </c>
      <c r="E421" s="34" t="inlineStr">
        <is>
          <t>Delhi</t>
        </is>
      </c>
      <c r="F421" s="34" t="inlineStr">
        <is>
          <t>Ergonomic Wireless Mouse</t>
        </is>
      </c>
      <c r="G421" s="33" t="inlineStr">
        <is>
          <t>Electronics</t>
        </is>
      </c>
      <c r="H421" s="35" t="n">
        <v>2</v>
      </c>
      <c r="I421" s="20" t="n">
        <v>1299</v>
      </c>
      <c r="J421" s="36" t="n">
        <v>0</v>
      </c>
      <c r="K421" s="20">
        <f>H421*I421</f>
        <v/>
      </c>
      <c r="L421" s="20">
        <f>K421*J421</f>
        <v/>
      </c>
      <c r="M421" s="20">
        <f>K421-L421</f>
        <v/>
      </c>
      <c r="N421" s="20" t="n">
        <v>1500</v>
      </c>
      <c r="O421" s="20">
        <f>M421-N421</f>
        <v/>
      </c>
      <c r="P421" s="21">
        <f>IFERROR(O421/M421, 0)</f>
        <v/>
      </c>
      <c r="Q421" s="33" t="inlineStr">
        <is>
          <t>Delivered</t>
        </is>
      </c>
    </row>
    <row r="422">
      <c r="A422" s="29" t="n">
        <v>220</v>
      </c>
      <c r="B422" s="29" t="inlineStr">
        <is>
          <t>2024-11-08</t>
        </is>
      </c>
      <c r="C422" s="30" t="inlineStr">
        <is>
          <t>Kiran Gupta</t>
        </is>
      </c>
      <c r="D422" s="29" t="inlineStr">
        <is>
          <t>North</t>
        </is>
      </c>
      <c r="E422" s="30" t="inlineStr">
        <is>
          <t>Delhi</t>
        </is>
      </c>
      <c r="F422" s="30" t="inlineStr">
        <is>
          <t>Multipurpose Desk Organizer Set</t>
        </is>
      </c>
      <c r="G422" s="29" t="inlineStr">
        <is>
          <t>Home &amp; Living</t>
        </is>
      </c>
      <c r="H422" s="31" t="n">
        <v>1</v>
      </c>
      <c r="I422" s="16" t="n">
        <v>699</v>
      </c>
      <c r="J422" s="32" t="n">
        <v>0</v>
      </c>
      <c r="K422" s="16">
        <f>H422*I422</f>
        <v/>
      </c>
      <c r="L422" s="16">
        <f>K422*J422</f>
        <v/>
      </c>
      <c r="M422" s="16">
        <f>K422-L422</f>
        <v/>
      </c>
      <c r="N422" s="16" t="n">
        <v>290</v>
      </c>
      <c r="O422" s="16">
        <f>M422-N422</f>
        <v/>
      </c>
      <c r="P422" s="17">
        <f>IFERROR(O422/M422, 0)</f>
        <v/>
      </c>
      <c r="Q422" s="29" t="inlineStr">
        <is>
          <t>Delivered</t>
        </is>
      </c>
    </row>
    <row r="423">
      <c r="A423" s="33" t="n">
        <v>221</v>
      </c>
      <c r="B423" s="33" t="inlineStr">
        <is>
          <t>2025-04-14</t>
        </is>
      </c>
      <c r="C423" s="34" t="inlineStr">
        <is>
          <t>Kunal Patel</t>
        </is>
      </c>
      <c r="D423" s="33" t="inlineStr">
        <is>
          <t>North</t>
        </is>
      </c>
      <c r="E423" s="34" t="inlineStr">
        <is>
          <t>Lucknow</t>
        </is>
      </c>
      <c r="F423" s="34" t="inlineStr">
        <is>
          <t>Automatic Air Fryer 4.5L</t>
        </is>
      </c>
      <c r="G423" s="33" t="inlineStr">
        <is>
          <t>Home &amp; Living</t>
        </is>
      </c>
      <c r="H423" s="35" t="n">
        <v>1</v>
      </c>
      <c r="I423" s="20" t="n">
        <v>5499</v>
      </c>
      <c r="J423" s="36" t="n">
        <v>0.05</v>
      </c>
      <c r="K423" s="20">
        <f>H423*I423</f>
        <v/>
      </c>
      <c r="L423" s="20">
        <f>K423*J423</f>
        <v/>
      </c>
      <c r="M423" s="20">
        <f>K423-L423</f>
        <v/>
      </c>
      <c r="N423" s="20" t="n">
        <v>3600</v>
      </c>
      <c r="O423" s="20">
        <f>M423-N423</f>
        <v/>
      </c>
      <c r="P423" s="21">
        <f>IFERROR(O423/M423, 0)</f>
        <v/>
      </c>
      <c r="Q423" s="33" t="inlineStr">
        <is>
          <t>Cancelled</t>
        </is>
      </c>
    </row>
    <row r="424">
      <c r="A424" s="29" t="n">
        <v>222</v>
      </c>
      <c r="B424" s="29" t="inlineStr">
        <is>
          <t>2025-03-14</t>
        </is>
      </c>
      <c r="C424" s="30" t="inlineStr">
        <is>
          <t>Manoj Verma</t>
        </is>
      </c>
      <c r="D424" s="29" t="inlineStr">
        <is>
          <t>North</t>
        </is>
      </c>
      <c r="E424" s="30" t="inlineStr">
        <is>
          <t>Gurgaon</t>
        </is>
      </c>
      <c r="F424" s="30" t="inlineStr">
        <is>
          <t>Multipurpose Desk Organizer Set</t>
        </is>
      </c>
      <c r="G424" s="29" t="inlineStr">
        <is>
          <t>Home &amp; Living</t>
        </is>
      </c>
      <c r="H424" s="31" t="n">
        <v>1</v>
      </c>
      <c r="I424" s="16" t="n">
        <v>699</v>
      </c>
      <c r="J424" s="32" t="n">
        <v>0.15</v>
      </c>
      <c r="K424" s="16">
        <f>H424*I424</f>
        <v/>
      </c>
      <c r="L424" s="16">
        <f>K424*J424</f>
        <v/>
      </c>
      <c r="M424" s="16">
        <f>K424-L424</f>
        <v/>
      </c>
      <c r="N424" s="16" t="n">
        <v>290</v>
      </c>
      <c r="O424" s="16">
        <f>M424-N424</f>
        <v/>
      </c>
      <c r="P424" s="17">
        <f>IFERROR(O424/M424, 0)</f>
        <v/>
      </c>
      <c r="Q424" s="29" t="inlineStr">
        <is>
          <t>Delivered</t>
        </is>
      </c>
    </row>
    <row r="425">
      <c r="A425" s="33" t="n">
        <v>222</v>
      </c>
      <c r="B425" s="33" t="inlineStr">
        <is>
          <t>2025-03-14</t>
        </is>
      </c>
      <c r="C425" s="34" t="inlineStr">
        <is>
          <t>Manoj Verma</t>
        </is>
      </c>
      <c r="D425" s="33" t="inlineStr">
        <is>
          <t>North</t>
        </is>
      </c>
      <c r="E425" s="34" t="inlineStr">
        <is>
          <t>Gurgaon</t>
        </is>
      </c>
      <c r="F425" s="34" t="inlineStr">
        <is>
          <t>Automatic Air Fryer 4.5L</t>
        </is>
      </c>
      <c r="G425" s="33" t="inlineStr">
        <is>
          <t>Home &amp; Living</t>
        </is>
      </c>
      <c r="H425" s="35" t="n">
        <v>1</v>
      </c>
      <c r="I425" s="20" t="n">
        <v>5499</v>
      </c>
      <c r="J425" s="36" t="n">
        <v>0.2</v>
      </c>
      <c r="K425" s="20">
        <f>H425*I425</f>
        <v/>
      </c>
      <c r="L425" s="20">
        <f>K425*J425</f>
        <v/>
      </c>
      <c r="M425" s="20">
        <f>K425-L425</f>
        <v/>
      </c>
      <c r="N425" s="20" t="n">
        <v>3600</v>
      </c>
      <c r="O425" s="20">
        <f>M425-N425</f>
        <v/>
      </c>
      <c r="P425" s="21">
        <f>IFERROR(O425/M425, 0)</f>
        <v/>
      </c>
      <c r="Q425" s="33" t="inlineStr">
        <is>
          <t>Delivered</t>
        </is>
      </c>
    </row>
    <row r="426">
      <c r="A426" s="29" t="n">
        <v>223</v>
      </c>
      <c r="B426" s="29" t="inlineStr">
        <is>
          <t>2025-02-13</t>
        </is>
      </c>
      <c r="C426" s="30" t="inlineStr">
        <is>
          <t>Rhea Gupta</t>
        </is>
      </c>
      <c r="D426" s="29" t="inlineStr">
        <is>
          <t>West</t>
        </is>
      </c>
      <c r="E426" s="30" t="inlineStr">
        <is>
          <t>Surat</t>
        </is>
      </c>
      <c r="F426" s="30" t="inlineStr">
        <is>
          <t>Wireless Noise-Cancelling Headphones</t>
        </is>
      </c>
      <c r="G426" s="29" t="inlineStr">
        <is>
          <t>Electronics</t>
        </is>
      </c>
      <c r="H426" s="31" t="n">
        <v>1</v>
      </c>
      <c r="I426" s="16" t="n">
        <v>7499</v>
      </c>
      <c r="J426" s="32" t="n">
        <v>0</v>
      </c>
      <c r="K426" s="16">
        <f>H426*I426</f>
        <v/>
      </c>
      <c r="L426" s="16">
        <f>K426*J426</f>
        <v/>
      </c>
      <c r="M426" s="16">
        <f>K426-L426</f>
        <v/>
      </c>
      <c r="N426" s="16" t="n">
        <v>4800</v>
      </c>
      <c r="O426" s="16">
        <f>M426-N426</f>
        <v/>
      </c>
      <c r="P426" s="17">
        <f>IFERROR(O426/M426, 0)</f>
        <v/>
      </c>
      <c r="Q426" s="29" t="inlineStr">
        <is>
          <t>Delivered</t>
        </is>
      </c>
    </row>
    <row r="427">
      <c r="A427" s="33" t="n">
        <v>224</v>
      </c>
      <c r="B427" s="33" t="inlineStr">
        <is>
          <t>2025-01-14</t>
        </is>
      </c>
      <c r="C427" s="34" t="inlineStr">
        <is>
          <t>Gaurav Rao</t>
        </is>
      </c>
      <c r="D427" s="33" t="inlineStr">
        <is>
          <t>Central</t>
        </is>
      </c>
      <c r="E427" s="34" t="inlineStr">
        <is>
          <t>Gwalior</t>
        </is>
      </c>
      <c r="F427" s="34" t="inlineStr">
        <is>
          <t>Premium California Almonds 500g</t>
        </is>
      </c>
      <c r="G427" s="33" t="inlineStr">
        <is>
          <t>Groceries</t>
        </is>
      </c>
      <c r="H427" s="35" t="n">
        <v>1</v>
      </c>
      <c r="I427" s="20" t="n">
        <v>599</v>
      </c>
      <c r="J427" s="36" t="n">
        <v>0.1</v>
      </c>
      <c r="K427" s="20">
        <f>H427*I427</f>
        <v/>
      </c>
      <c r="L427" s="20">
        <f>K427*J427</f>
        <v/>
      </c>
      <c r="M427" s="20">
        <f>K427-L427</f>
        <v/>
      </c>
      <c r="N427" s="20" t="n">
        <v>380</v>
      </c>
      <c r="O427" s="20">
        <f>M427-N427</f>
        <v/>
      </c>
      <c r="P427" s="21">
        <f>IFERROR(O427/M427, 0)</f>
        <v/>
      </c>
      <c r="Q427" s="33" t="inlineStr">
        <is>
          <t>Delivered</t>
        </is>
      </c>
    </row>
    <row r="428">
      <c r="A428" s="29" t="n">
        <v>225</v>
      </c>
      <c r="B428" s="29" t="inlineStr">
        <is>
          <t>2025-01-18</t>
        </is>
      </c>
      <c r="C428" s="30" t="inlineStr">
        <is>
          <t>Vikram Reddy</t>
        </is>
      </c>
      <c r="D428" s="29" t="inlineStr">
        <is>
          <t>North</t>
        </is>
      </c>
      <c r="E428" s="30" t="inlineStr">
        <is>
          <t>Jaipur</t>
        </is>
      </c>
      <c r="F428" s="30" t="inlineStr">
        <is>
          <t>Stainless Steel Electric Kettle 1.8L</t>
        </is>
      </c>
      <c r="G428" s="29" t="inlineStr">
        <is>
          <t>Home &amp; Living</t>
        </is>
      </c>
      <c r="H428" s="31" t="n">
        <v>1</v>
      </c>
      <c r="I428" s="16" t="n">
        <v>1299</v>
      </c>
      <c r="J428" s="32" t="n">
        <v>0</v>
      </c>
      <c r="K428" s="16">
        <f>H428*I428</f>
        <v/>
      </c>
      <c r="L428" s="16">
        <f>K428*J428</f>
        <v/>
      </c>
      <c r="M428" s="16">
        <f>K428-L428</f>
        <v/>
      </c>
      <c r="N428" s="16" t="n">
        <v>720</v>
      </c>
      <c r="O428" s="16">
        <f>M428-N428</f>
        <v/>
      </c>
      <c r="P428" s="17">
        <f>IFERROR(O428/M428, 0)</f>
        <v/>
      </c>
      <c r="Q428" s="29" t="inlineStr">
        <is>
          <t>Delivered</t>
        </is>
      </c>
    </row>
    <row r="429">
      <c r="A429" s="33" t="n">
        <v>226</v>
      </c>
      <c r="B429" s="33" t="inlineStr">
        <is>
          <t>2025-08-09</t>
        </is>
      </c>
      <c r="C429" s="34" t="inlineStr">
        <is>
          <t>Vikram Saxena</t>
        </is>
      </c>
      <c r="D429" s="33" t="inlineStr">
        <is>
          <t>South</t>
        </is>
      </c>
      <c r="E429" s="34" t="inlineStr">
        <is>
          <t>Coimbatore</t>
        </is>
      </c>
      <c r="F429" s="34" t="inlineStr">
        <is>
          <t>Genuine Leather Bifold Wallet</t>
        </is>
      </c>
      <c r="G429" s="33" t="inlineStr">
        <is>
          <t>Fashion</t>
        </is>
      </c>
      <c r="H429" s="35" t="n">
        <v>4</v>
      </c>
      <c r="I429" s="20" t="n">
        <v>899</v>
      </c>
      <c r="J429" s="36" t="n">
        <v>0.15</v>
      </c>
      <c r="K429" s="20">
        <f>H429*I429</f>
        <v/>
      </c>
      <c r="L429" s="20">
        <f>K429*J429</f>
        <v/>
      </c>
      <c r="M429" s="20">
        <f>K429-L429</f>
        <v/>
      </c>
      <c r="N429" s="20" t="n">
        <v>1520</v>
      </c>
      <c r="O429" s="20">
        <f>M429-N429</f>
        <v/>
      </c>
      <c r="P429" s="21">
        <f>IFERROR(O429/M429, 0)</f>
        <v/>
      </c>
      <c r="Q429" s="33" t="inlineStr">
        <is>
          <t>Processing</t>
        </is>
      </c>
    </row>
    <row r="430">
      <c r="A430" s="29" t="n">
        <v>226</v>
      </c>
      <c r="B430" s="29" t="inlineStr">
        <is>
          <t>2025-08-09</t>
        </is>
      </c>
      <c r="C430" s="30" t="inlineStr">
        <is>
          <t>Vikram Saxena</t>
        </is>
      </c>
      <c r="D430" s="29" t="inlineStr">
        <is>
          <t>South</t>
        </is>
      </c>
      <c r="E430" s="30" t="inlineStr">
        <is>
          <t>Coimbatore</t>
        </is>
      </c>
      <c r="F430" s="30" t="inlineStr">
        <is>
          <t>Unisex Classic Denim Jeans</t>
        </is>
      </c>
      <c r="G430" s="29" t="inlineStr">
        <is>
          <t>Fashion</t>
        </is>
      </c>
      <c r="H430" s="31" t="n">
        <v>2</v>
      </c>
      <c r="I430" s="16" t="n">
        <v>2499</v>
      </c>
      <c r="J430" s="32" t="n">
        <v>0.1</v>
      </c>
      <c r="K430" s="16">
        <f>H430*I430</f>
        <v/>
      </c>
      <c r="L430" s="16">
        <f>K430*J430</f>
        <v/>
      </c>
      <c r="M430" s="16">
        <f>K430-L430</f>
        <v/>
      </c>
      <c r="N430" s="16" t="n">
        <v>2200</v>
      </c>
      <c r="O430" s="16">
        <f>M430-N430</f>
        <v/>
      </c>
      <c r="P430" s="17">
        <f>IFERROR(O430/M430, 0)</f>
        <v/>
      </c>
      <c r="Q430" s="29" t="inlineStr">
        <is>
          <t>Processing</t>
        </is>
      </c>
    </row>
    <row r="431">
      <c r="A431" s="33" t="n">
        <v>226</v>
      </c>
      <c r="B431" s="33" t="inlineStr">
        <is>
          <t>2025-08-09</t>
        </is>
      </c>
      <c r="C431" s="34" t="inlineStr">
        <is>
          <t>Vikram Saxena</t>
        </is>
      </c>
      <c r="D431" s="33" t="inlineStr">
        <is>
          <t>South</t>
        </is>
      </c>
      <c r="E431" s="34" t="inlineStr">
        <is>
          <t>Coimbatore</t>
        </is>
      </c>
      <c r="F431" s="34" t="inlineStr">
        <is>
          <t>Multipurpose Desk Organizer Set</t>
        </is>
      </c>
      <c r="G431" s="33" t="inlineStr">
        <is>
          <t>Home &amp; Living</t>
        </is>
      </c>
      <c r="H431" s="35" t="n">
        <v>1</v>
      </c>
      <c r="I431" s="20" t="n">
        <v>699</v>
      </c>
      <c r="J431" s="36" t="n">
        <v>0.2</v>
      </c>
      <c r="K431" s="20">
        <f>H431*I431</f>
        <v/>
      </c>
      <c r="L431" s="20">
        <f>K431*J431</f>
        <v/>
      </c>
      <c r="M431" s="20">
        <f>K431-L431</f>
        <v/>
      </c>
      <c r="N431" s="20" t="n">
        <v>290</v>
      </c>
      <c r="O431" s="20">
        <f>M431-N431</f>
        <v/>
      </c>
      <c r="P431" s="21">
        <f>IFERROR(O431/M431, 0)</f>
        <v/>
      </c>
      <c r="Q431" s="33" t="inlineStr">
        <is>
          <t>Processing</t>
        </is>
      </c>
    </row>
    <row r="432">
      <c r="A432" s="29" t="n">
        <v>227</v>
      </c>
      <c r="B432" s="29" t="inlineStr">
        <is>
          <t>2025-01-26</t>
        </is>
      </c>
      <c r="C432" s="30" t="inlineStr">
        <is>
          <t>Deepika Iyer</t>
        </is>
      </c>
      <c r="D432" s="29" t="inlineStr">
        <is>
          <t>South</t>
        </is>
      </c>
      <c r="E432" s="30" t="inlineStr">
        <is>
          <t>Chennai</t>
        </is>
      </c>
      <c r="F432" s="30" t="inlineStr">
        <is>
          <t>Multipurpose Desk Organizer Set</t>
        </is>
      </c>
      <c r="G432" s="29" t="inlineStr">
        <is>
          <t>Home &amp; Living</t>
        </is>
      </c>
      <c r="H432" s="31" t="n">
        <v>3</v>
      </c>
      <c r="I432" s="16" t="n">
        <v>699</v>
      </c>
      <c r="J432" s="32" t="n">
        <v>0.12</v>
      </c>
      <c r="K432" s="16">
        <f>H432*I432</f>
        <v/>
      </c>
      <c r="L432" s="16">
        <f>K432*J432</f>
        <v/>
      </c>
      <c r="M432" s="16">
        <f>K432-L432</f>
        <v/>
      </c>
      <c r="N432" s="16" t="n">
        <v>870</v>
      </c>
      <c r="O432" s="16">
        <f>M432-N432</f>
        <v/>
      </c>
      <c r="P432" s="17">
        <f>IFERROR(O432/M432, 0)</f>
        <v/>
      </c>
      <c r="Q432" s="29" t="inlineStr">
        <is>
          <t>Delivered</t>
        </is>
      </c>
    </row>
    <row r="433">
      <c r="A433" s="33" t="n">
        <v>227</v>
      </c>
      <c r="B433" s="33" t="inlineStr">
        <is>
          <t>2025-01-26</t>
        </is>
      </c>
      <c r="C433" s="34" t="inlineStr">
        <is>
          <t>Deepika Iyer</t>
        </is>
      </c>
      <c r="D433" s="33" t="inlineStr">
        <is>
          <t>South</t>
        </is>
      </c>
      <c r="E433" s="34" t="inlineStr">
        <is>
          <t>Chennai</t>
        </is>
      </c>
      <c r="F433" s="34" t="inlineStr">
        <is>
          <t>Fast Charging Power Bank 20000mAh</t>
        </is>
      </c>
      <c r="G433" s="33" t="inlineStr">
        <is>
          <t>Electronics</t>
        </is>
      </c>
      <c r="H433" s="35" t="n">
        <v>5</v>
      </c>
      <c r="I433" s="20" t="n">
        <v>1899</v>
      </c>
      <c r="J433" s="36" t="n">
        <v>0</v>
      </c>
      <c r="K433" s="20">
        <f>H433*I433</f>
        <v/>
      </c>
      <c r="L433" s="20">
        <f>K433*J433</f>
        <v/>
      </c>
      <c r="M433" s="20">
        <f>K433-L433</f>
        <v/>
      </c>
      <c r="N433" s="20" t="n">
        <v>5750</v>
      </c>
      <c r="O433" s="20">
        <f>M433-N433</f>
        <v/>
      </c>
      <c r="P433" s="21">
        <f>IFERROR(O433/M433, 0)</f>
        <v/>
      </c>
      <c r="Q433" s="33" t="inlineStr">
        <is>
          <t>Delivered</t>
        </is>
      </c>
    </row>
    <row r="434">
      <c r="A434" s="29" t="n">
        <v>228</v>
      </c>
      <c r="B434" s="29" t="inlineStr">
        <is>
          <t>2024-11-18</t>
        </is>
      </c>
      <c r="C434" s="30" t="inlineStr">
        <is>
          <t>Rajesh Singh</t>
        </is>
      </c>
      <c r="D434" s="29" t="inlineStr">
        <is>
          <t>West</t>
        </is>
      </c>
      <c r="E434" s="30" t="inlineStr">
        <is>
          <t>Mumbai</t>
        </is>
      </c>
      <c r="F434" s="30" t="inlineStr">
        <is>
          <t>Adjustable Dumbbell Set 20kg</t>
        </is>
      </c>
      <c r="G434" s="29" t="inlineStr">
        <is>
          <t>Sports</t>
        </is>
      </c>
      <c r="H434" s="31" t="n">
        <v>1</v>
      </c>
      <c r="I434" s="16" t="n">
        <v>4299</v>
      </c>
      <c r="J434" s="32" t="n">
        <v>0.2</v>
      </c>
      <c r="K434" s="16">
        <f>H434*I434</f>
        <v/>
      </c>
      <c r="L434" s="16">
        <f>K434*J434</f>
        <v/>
      </c>
      <c r="M434" s="16">
        <f>K434-L434</f>
        <v/>
      </c>
      <c r="N434" s="16" t="n">
        <v>2600</v>
      </c>
      <c r="O434" s="16">
        <f>M434-N434</f>
        <v/>
      </c>
      <c r="P434" s="17">
        <f>IFERROR(O434/M434, 0)</f>
        <v/>
      </c>
      <c r="Q434" s="29" t="inlineStr">
        <is>
          <t>Cancelled</t>
        </is>
      </c>
    </row>
    <row r="435">
      <c r="A435" s="33" t="n">
        <v>228</v>
      </c>
      <c r="B435" s="33" t="inlineStr">
        <is>
          <t>2024-11-18</t>
        </is>
      </c>
      <c r="C435" s="34" t="inlineStr">
        <is>
          <t>Rajesh Singh</t>
        </is>
      </c>
      <c r="D435" s="33" t="inlineStr">
        <is>
          <t>West</t>
        </is>
      </c>
      <c r="E435" s="34" t="inlineStr">
        <is>
          <t>Mumbai</t>
        </is>
      </c>
      <c r="F435" s="34" t="inlineStr">
        <is>
          <t>Wireless Noise-Cancelling Headphones</t>
        </is>
      </c>
      <c r="G435" s="33" t="inlineStr">
        <is>
          <t>Electronics</t>
        </is>
      </c>
      <c r="H435" s="35" t="n">
        <v>2</v>
      </c>
      <c r="I435" s="20" t="n">
        <v>7499</v>
      </c>
      <c r="J435" s="36" t="n">
        <v>0</v>
      </c>
      <c r="K435" s="20">
        <f>H435*I435</f>
        <v/>
      </c>
      <c r="L435" s="20">
        <f>K435*J435</f>
        <v/>
      </c>
      <c r="M435" s="20">
        <f>K435-L435</f>
        <v/>
      </c>
      <c r="N435" s="20" t="n">
        <v>9600</v>
      </c>
      <c r="O435" s="20">
        <f>M435-N435</f>
        <v/>
      </c>
      <c r="P435" s="21">
        <f>IFERROR(O435/M435, 0)</f>
        <v/>
      </c>
      <c r="Q435" s="33" t="inlineStr">
        <is>
          <t>Cancelled</t>
        </is>
      </c>
    </row>
    <row r="436">
      <c r="A436" s="29" t="n">
        <v>228</v>
      </c>
      <c r="B436" s="29" t="inlineStr">
        <is>
          <t>2024-11-18</t>
        </is>
      </c>
      <c r="C436" s="30" t="inlineStr">
        <is>
          <t>Rajesh Singh</t>
        </is>
      </c>
      <c r="D436" s="29" t="inlineStr">
        <is>
          <t>West</t>
        </is>
      </c>
      <c r="E436" s="30" t="inlineStr">
        <is>
          <t>Mumbai</t>
        </is>
      </c>
      <c r="F436" s="30" t="inlineStr">
        <is>
          <t>Ultra HD Smart LED TV 55-inch</t>
        </is>
      </c>
      <c r="G436" s="29" t="inlineStr">
        <is>
          <t>Electronics</t>
        </is>
      </c>
      <c r="H436" s="31" t="n">
        <v>2</v>
      </c>
      <c r="I436" s="16" t="n">
        <v>42999</v>
      </c>
      <c r="J436" s="32" t="n">
        <v>0</v>
      </c>
      <c r="K436" s="16">
        <f>H436*I436</f>
        <v/>
      </c>
      <c r="L436" s="16">
        <f>K436*J436</f>
        <v/>
      </c>
      <c r="M436" s="16">
        <f>K436-L436</f>
        <v/>
      </c>
      <c r="N436" s="16" t="n">
        <v>62000</v>
      </c>
      <c r="O436" s="16">
        <f>M436-N436</f>
        <v/>
      </c>
      <c r="P436" s="17">
        <f>IFERROR(O436/M436, 0)</f>
        <v/>
      </c>
      <c r="Q436" s="29" t="inlineStr">
        <is>
          <t>Cancelled</t>
        </is>
      </c>
    </row>
    <row r="437">
      <c r="A437" s="33" t="n">
        <v>229</v>
      </c>
      <c r="B437" s="33" t="inlineStr">
        <is>
          <t>2025-07-17</t>
        </is>
      </c>
      <c r="C437" s="34" t="inlineStr">
        <is>
          <t>Rhea Rao</t>
        </is>
      </c>
      <c r="D437" s="33" t="inlineStr">
        <is>
          <t>Central</t>
        </is>
      </c>
      <c r="E437" s="34" t="inlineStr">
        <is>
          <t>Bhopal</t>
        </is>
      </c>
      <c r="F437" s="34" t="inlineStr">
        <is>
          <t>Pure Raw Honey 500g</t>
        </is>
      </c>
      <c r="G437" s="33" t="inlineStr">
        <is>
          <t>Groceries</t>
        </is>
      </c>
      <c r="H437" s="35" t="n">
        <v>2</v>
      </c>
      <c r="I437" s="20" t="n">
        <v>399</v>
      </c>
      <c r="J437" s="36" t="n">
        <v>0.12</v>
      </c>
      <c r="K437" s="20">
        <f>H437*I437</f>
        <v/>
      </c>
      <c r="L437" s="20">
        <f>K437*J437</f>
        <v/>
      </c>
      <c r="M437" s="20">
        <f>K437-L437</f>
        <v/>
      </c>
      <c r="N437" s="20" t="n">
        <v>420</v>
      </c>
      <c r="O437" s="20">
        <f>M437-N437</f>
        <v/>
      </c>
      <c r="P437" s="21">
        <f>IFERROR(O437/M437, 0)</f>
        <v/>
      </c>
      <c r="Q437" s="33" t="inlineStr">
        <is>
          <t>Delivered</t>
        </is>
      </c>
    </row>
    <row r="438">
      <c r="A438" s="29" t="n">
        <v>230</v>
      </c>
      <c r="B438" s="29" t="inlineStr">
        <is>
          <t>2025-10-04</t>
        </is>
      </c>
      <c r="C438" s="30" t="inlineStr">
        <is>
          <t>Kunal Banerjee</t>
        </is>
      </c>
      <c r="D438" s="29" t="inlineStr">
        <is>
          <t>South</t>
        </is>
      </c>
      <c r="E438" s="30" t="inlineStr">
        <is>
          <t>Hyderabad</t>
        </is>
      </c>
      <c r="F438" s="30" t="inlineStr">
        <is>
          <t>Cold-Pressed Extra Virgin Olive Oil 1L</t>
        </is>
      </c>
      <c r="G438" s="29" t="inlineStr">
        <is>
          <t>Groceries</t>
        </is>
      </c>
      <c r="H438" s="31" t="n">
        <v>1</v>
      </c>
      <c r="I438" s="16" t="n">
        <v>1199</v>
      </c>
      <c r="J438" s="32" t="n">
        <v>0</v>
      </c>
      <c r="K438" s="16">
        <f>H438*I438</f>
        <v/>
      </c>
      <c r="L438" s="16">
        <f>K438*J438</f>
        <v/>
      </c>
      <c r="M438" s="16">
        <f>K438-L438</f>
        <v/>
      </c>
      <c r="N438" s="16" t="n">
        <v>780</v>
      </c>
      <c r="O438" s="16">
        <f>M438-N438</f>
        <v/>
      </c>
      <c r="P438" s="17">
        <f>IFERROR(O438/M438, 0)</f>
        <v/>
      </c>
      <c r="Q438" s="29" t="inlineStr">
        <is>
          <t>Delivered</t>
        </is>
      </c>
    </row>
    <row r="439">
      <c r="A439" s="33" t="n">
        <v>231</v>
      </c>
      <c r="B439" s="33" t="inlineStr">
        <is>
          <t>2025-07-30</t>
        </is>
      </c>
      <c r="C439" s="34" t="inlineStr">
        <is>
          <t>Rohit Sharma</t>
        </is>
      </c>
      <c r="D439" s="33" t="inlineStr">
        <is>
          <t>North</t>
        </is>
      </c>
      <c r="E439" s="34" t="inlineStr">
        <is>
          <t>Noida</t>
        </is>
      </c>
      <c r="F439" s="34" t="inlineStr">
        <is>
          <t>Lightweight Running Sports Shoes</t>
        </is>
      </c>
      <c r="G439" s="33" t="inlineStr">
        <is>
          <t>Fashion</t>
        </is>
      </c>
      <c r="H439" s="35" t="n">
        <v>1</v>
      </c>
      <c r="I439" s="20" t="n">
        <v>3199</v>
      </c>
      <c r="J439" s="36" t="n">
        <v>0.2</v>
      </c>
      <c r="K439" s="20">
        <f>H439*I439</f>
        <v/>
      </c>
      <c r="L439" s="20">
        <f>K439*J439</f>
        <v/>
      </c>
      <c r="M439" s="20">
        <f>K439-L439</f>
        <v/>
      </c>
      <c r="N439" s="20" t="n">
        <v>1500</v>
      </c>
      <c r="O439" s="20">
        <f>M439-N439</f>
        <v/>
      </c>
      <c r="P439" s="21">
        <f>IFERROR(O439/M439, 0)</f>
        <v/>
      </c>
      <c r="Q439" s="33" t="inlineStr">
        <is>
          <t>Processing</t>
        </is>
      </c>
    </row>
    <row r="440">
      <c r="A440" s="29" t="n">
        <v>232</v>
      </c>
      <c r="B440" s="29" t="inlineStr">
        <is>
          <t>2025-10-12</t>
        </is>
      </c>
      <c r="C440" s="30" t="inlineStr">
        <is>
          <t>Anjali Sharma</t>
        </is>
      </c>
      <c r="D440" s="29" t="inlineStr">
        <is>
          <t>Central</t>
        </is>
      </c>
      <c r="E440" s="30" t="inlineStr">
        <is>
          <t>Gwalior</t>
        </is>
      </c>
      <c r="F440" s="30" t="inlineStr">
        <is>
          <t>Fast Charging Power Bank 20000mAh</t>
        </is>
      </c>
      <c r="G440" s="29" t="inlineStr">
        <is>
          <t>Electronics</t>
        </is>
      </c>
      <c r="H440" s="31" t="n">
        <v>1</v>
      </c>
      <c r="I440" s="16" t="n">
        <v>1899</v>
      </c>
      <c r="J440" s="32" t="n">
        <v>0</v>
      </c>
      <c r="K440" s="16">
        <f>H440*I440</f>
        <v/>
      </c>
      <c r="L440" s="16">
        <f>K440*J440</f>
        <v/>
      </c>
      <c r="M440" s="16">
        <f>K440-L440</f>
        <v/>
      </c>
      <c r="N440" s="16" t="n">
        <v>1150</v>
      </c>
      <c r="O440" s="16">
        <f>M440-N440</f>
        <v/>
      </c>
      <c r="P440" s="17">
        <f>IFERROR(O440/M440, 0)</f>
        <v/>
      </c>
      <c r="Q440" s="29" t="inlineStr">
        <is>
          <t>Delivered</t>
        </is>
      </c>
    </row>
    <row r="441">
      <c r="A441" s="33" t="n">
        <v>232</v>
      </c>
      <c r="B441" s="33" t="inlineStr">
        <is>
          <t>2025-10-12</t>
        </is>
      </c>
      <c r="C441" s="34" t="inlineStr">
        <is>
          <t>Anjali Sharma</t>
        </is>
      </c>
      <c r="D441" s="33" t="inlineStr">
        <is>
          <t>Central</t>
        </is>
      </c>
      <c r="E441" s="34" t="inlineStr">
        <is>
          <t>Gwalior</t>
        </is>
      </c>
      <c r="F441" s="34" t="inlineStr">
        <is>
          <t>Ergonomic Wireless Mouse</t>
        </is>
      </c>
      <c r="G441" s="33" t="inlineStr">
        <is>
          <t>Electronics</t>
        </is>
      </c>
      <c r="H441" s="35" t="n">
        <v>2</v>
      </c>
      <c r="I441" s="20" t="n">
        <v>1299</v>
      </c>
      <c r="J441" s="36" t="n">
        <v>0.05</v>
      </c>
      <c r="K441" s="20">
        <f>H441*I441</f>
        <v/>
      </c>
      <c r="L441" s="20">
        <f>K441*J441</f>
        <v/>
      </c>
      <c r="M441" s="20">
        <f>K441-L441</f>
        <v/>
      </c>
      <c r="N441" s="20" t="n">
        <v>1500</v>
      </c>
      <c r="O441" s="20">
        <f>M441-N441</f>
        <v/>
      </c>
      <c r="P441" s="21">
        <f>IFERROR(O441/M441, 0)</f>
        <v/>
      </c>
      <c r="Q441" s="33" t="inlineStr">
        <is>
          <t>Delivered</t>
        </is>
      </c>
    </row>
    <row r="442">
      <c r="A442" s="29" t="n">
        <v>232</v>
      </c>
      <c r="B442" s="29" t="inlineStr">
        <is>
          <t>2025-10-12</t>
        </is>
      </c>
      <c r="C442" s="30" t="inlineStr">
        <is>
          <t>Anjali Sharma</t>
        </is>
      </c>
      <c r="D442" s="29" t="inlineStr">
        <is>
          <t>Central</t>
        </is>
      </c>
      <c r="E442" s="30" t="inlineStr">
        <is>
          <t>Gwalior</t>
        </is>
      </c>
      <c r="F442" s="30" t="inlineStr">
        <is>
          <t>Organic Green Tea 100 Bags</t>
        </is>
      </c>
      <c r="G442" s="29" t="inlineStr">
        <is>
          <t>Groceries</t>
        </is>
      </c>
      <c r="H442" s="31" t="n">
        <v>2</v>
      </c>
      <c r="I442" s="16" t="n">
        <v>450</v>
      </c>
      <c r="J442" s="32" t="n">
        <v>0.05</v>
      </c>
      <c r="K442" s="16">
        <f>H442*I442</f>
        <v/>
      </c>
      <c r="L442" s="16">
        <f>K442*J442</f>
        <v/>
      </c>
      <c r="M442" s="16">
        <f>K442-L442</f>
        <v/>
      </c>
      <c r="N442" s="16" t="n">
        <v>520</v>
      </c>
      <c r="O442" s="16">
        <f>M442-N442</f>
        <v/>
      </c>
      <c r="P442" s="17">
        <f>IFERROR(O442/M442, 0)</f>
        <v/>
      </c>
      <c r="Q442" s="29" t="inlineStr">
        <is>
          <t>Delivered</t>
        </is>
      </c>
    </row>
    <row r="443">
      <c r="A443" s="33" t="n">
        <v>233</v>
      </c>
      <c r="B443" s="33" t="inlineStr">
        <is>
          <t>2024-12-11</t>
        </is>
      </c>
      <c r="C443" s="34" t="inlineStr">
        <is>
          <t>Ishaan Kapoor</t>
        </is>
      </c>
      <c r="D443" s="33" t="inlineStr">
        <is>
          <t>South</t>
        </is>
      </c>
      <c r="E443" s="34" t="inlineStr">
        <is>
          <t>Kochi</t>
        </is>
      </c>
      <c r="F443" s="34" t="inlineStr">
        <is>
          <t>Automatic Air Fryer 4.5L</t>
        </is>
      </c>
      <c r="G443" s="33" t="inlineStr">
        <is>
          <t>Home &amp; Living</t>
        </is>
      </c>
      <c r="H443" s="35" t="n">
        <v>1</v>
      </c>
      <c r="I443" s="20" t="n">
        <v>5499</v>
      </c>
      <c r="J443" s="36" t="n">
        <v>0.15</v>
      </c>
      <c r="K443" s="20">
        <f>H443*I443</f>
        <v/>
      </c>
      <c r="L443" s="20">
        <f>K443*J443</f>
        <v/>
      </c>
      <c r="M443" s="20">
        <f>K443-L443</f>
        <v/>
      </c>
      <c r="N443" s="20" t="n">
        <v>3600</v>
      </c>
      <c r="O443" s="20">
        <f>M443-N443</f>
        <v/>
      </c>
      <c r="P443" s="21">
        <f>IFERROR(O443/M443, 0)</f>
        <v/>
      </c>
      <c r="Q443" s="33" t="inlineStr">
        <is>
          <t>Delivered</t>
        </is>
      </c>
    </row>
    <row r="444">
      <c r="A444" s="29" t="n">
        <v>233</v>
      </c>
      <c r="B444" s="29" t="inlineStr">
        <is>
          <t>2024-12-11</t>
        </is>
      </c>
      <c r="C444" s="30" t="inlineStr">
        <is>
          <t>Ishaan Kapoor</t>
        </is>
      </c>
      <c r="D444" s="29" t="inlineStr">
        <is>
          <t>South</t>
        </is>
      </c>
      <c r="E444" s="30" t="inlineStr">
        <is>
          <t>Kochi</t>
        </is>
      </c>
      <c r="F444" s="30" t="inlineStr">
        <is>
          <t>Premium California Almonds 500g</t>
        </is>
      </c>
      <c r="G444" s="29" t="inlineStr">
        <is>
          <t>Groceries</t>
        </is>
      </c>
      <c r="H444" s="31" t="n">
        <v>2</v>
      </c>
      <c r="I444" s="16" t="n">
        <v>599</v>
      </c>
      <c r="J444" s="32" t="n">
        <v>0</v>
      </c>
      <c r="K444" s="16">
        <f>H444*I444</f>
        <v/>
      </c>
      <c r="L444" s="16">
        <f>K444*J444</f>
        <v/>
      </c>
      <c r="M444" s="16">
        <f>K444-L444</f>
        <v/>
      </c>
      <c r="N444" s="16" t="n">
        <v>760</v>
      </c>
      <c r="O444" s="16">
        <f>M444-N444</f>
        <v/>
      </c>
      <c r="P444" s="17">
        <f>IFERROR(O444/M444, 0)</f>
        <v/>
      </c>
      <c r="Q444" s="29" t="inlineStr">
        <is>
          <t>Delivered</t>
        </is>
      </c>
    </row>
    <row r="445">
      <c r="A445" s="33" t="n">
        <v>233</v>
      </c>
      <c r="B445" s="33" t="inlineStr">
        <is>
          <t>2024-12-11</t>
        </is>
      </c>
      <c r="C445" s="34" t="inlineStr">
        <is>
          <t>Ishaan Kapoor</t>
        </is>
      </c>
      <c r="D445" s="33" t="inlineStr">
        <is>
          <t>South</t>
        </is>
      </c>
      <c r="E445" s="34" t="inlineStr">
        <is>
          <t>Kochi</t>
        </is>
      </c>
      <c r="F445" s="34" t="inlineStr">
        <is>
          <t>Women Floral Embroidered Kurti</t>
        </is>
      </c>
      <c r="G445" s="33" t="inlineStr">
        <is>
          <t>Fashion</t>
        </is>
      </c>
      <c r="H445" s="35" t="n">
        <v>2</v>
      </c>
      <c r="I445" s="20" t="n">
        <v>1899</v>
      </c>
      <c r="J445" s="36" t="n">
        <v>0.2</v>
      </c>
      <c r="K445" s="20">
        <f>H445*I445</f>
        <v/>
      </c>
      <c r="L445" s="20">
        <f>K445*J445</f>
        <v/>
      </c>
      <c r="M445" s="20">
        <f>K445-L445</f>
        <v/>
      </c>
      <c r="N445" s="20" t="n">
        <v>1600</v>
      </c>
      <c r="O445" s="20">
        <f>M445-N445</f>
        <v/>
      </c>
      <c r="P445" s="21">
        <f>IFERROR(O445/M445, 0)</f>
        <v/>
      </c>
      <c r="Q445" s="33" t="inlineStr">
        <is>
          <t>Delivered</t>
        </is>
      </c>
    </row>
    <row r="446">
      <c r="A446" s="29" t="n">
        <v>233</v>
      </c>
      <c r="B446" s="29" t="inlineStr">
        <is>
          <t>2024-12-11</t>
        </is>
      </c>
      <c r="C446" s="30" t="inlineStr">
        <is>
          <t>Ishaan Kapoor</t>
        </is>
      </c>
      <c r="D446" s="29" t="inlineStr">
        <is>
          <t>South</t>
        </is>
      </c>
      <c r="E446" s="30" t="inlineStr">
        <is>
          <t>Kochi</t>
        </is>
      </c>
      <c r="F446" s="30" t="inlineStr">
        <is>
          <t>Insulated Stainless Steel Sipper Bottle</t>
        </is>
      </c>
      <c r="G446" s="29" t="inlineStr">
        <is>
          <t>Sports</t>
        </is>
      </c>
      <c r="H446" s="31" t="n">
        <v>2</v>
      </c>
      <c r="I446" s="16" t="n">
        <v>799</v>
      </c>
      <c r="J446" s="32" t="n">
        <v>0</v>
      </c>
      <c r="K446" s="16">
        <f>H446*I446</f>
        <v/>
      </c>
      <c r="L446" s="16">
        <f>K446*J446</f>
        <v/>
      </c>
      <c r="M446" s="16">
        <f>K446-L446</f>
        <v/>
      </c>
      <c r="N446" s="16" t="n">
        <v>780</v>
      </c>
      <c r="O446" s="16">
        <f>M446-N446</f>
        <v/>
      </c>
      <c r="P446" s="17">
        <f>IFERROR(O446/M446, 0)</f>
        <v/>
      </c>
      <c r="Q446" s="29" t="inlineStr">
        <is>
          <t>Delivered</t>
        </is>
      </c>
    </row>
    <row r="447">
      <c r="A447" s="33" t="n">
        <v>234</v>
      </c>
      <c r="B447" s="33" t="inlineStr">
        <is>
          <t>2025-05-27</t>
        </is>
      </c>
      <c r="C447" s="34" t="inlineStr">
        <is>
          <t>Aditya Verma</t>
        </is>
      </c>
      <c r="D447" s="33" t="inlineStr">
        <is>
          <t>South</t>
        </is>
      </c>
      <c r="E447" s="34" t="inlineStr">
        <is>
          <t>Bengaluru</t>
        </is>
      </c>
      <c r="F447" s="34" t="inlineStr">
        <is>
          <t>Multipurpose Desk Organizer Set</t>
        </is>
      </c>
      <c r="G447" s="33" t="inlineStr">
        <is>
          <t>Home &amp; Living</t>
        </is>
      </c>
      <c r="H447" s="35" t="n">
        <v>1</v>
      </c>
      <c r="I447" s="20" t="n">
        <v>699</v>
      </c>
      <c r="J447" s="36" t="n">
        <v>0</v>
      </c>
      <c r="K447" s="20">
        <f>H447*I447</f>
        <v/>
      </c>
      <c r="L447" s="20">
        <f>K447*J447</f>
        <v/>
      </c>
      <c r="M447" s="20">
        <f>K447-L447</f>
        <v/>
      </c>
      <c r="N447" s="20" t="n">
        <v>290</v>
      </c>
      <c r="O447" s="20">
        <f>M447-N447</f>
        <v/>
      </c>
      <c r="P447" s="21">
        <f>IFERROR(O447/M447, 0)</f>
        <v/>
      </c>
      <c r="Q447" s="33" t="inlineStr">
        <is>
          <t>Delivered</t>
        </is>
      </c>
    </row>
    <row r="448">
      <c r="A448" s="29" t="n">
        <v>235</v>
      </c>
      <c r="B448" s="29" t="inlineStr">
        <is>
          <t>2025-01-27</t>
        </is>
      </c>
      <c r="C448" s="30" t="inlineStr">
        <is>
          <t>Anjali Sharma</t>
        </is>
      </c>
      <c r="D448" s="29" t="inlineStr">
        <is>
          <t>Central</t>
        </is>
      </c>
      <c r="E448" s="30" t="inlineStr">
        <is>
          <t>Gwalior</t>
        </is>
      </c>
      <c r="F448" s="30" t="inlineStr">
        <is>
          <t>Double Bed Pure Cotton Bedsheet</t>
        </is>
      </c>
      <c r="G448" s="29" t="inlineStr">
        <is>
          <t>Home &amp; Living</t>
        </is>
      </c>
      <c r="H448" s="31" t="n">
        <v>2</v>
      </c>
      <c r="I448" s="16" t="n">
        <v>1599</v>
      </c>
      <c r="J448" s="32" t="n">
        <v>0.12</v>
      </c>
      <c r="K448" s="16">
        <f>H448*I448</f>
        <v/>
      </c>
      <c r="L448" s="16">
        <f>K448*J448</f>
        <v/>
      </c>
      <c r="M448" s="16">
        <f>K448-L448</f>
        <v/>
      </c>
      <c r="N448" s="16" t="n">
        <v>1560</v>
      </c>
      <c r="O448" s="16">
        <f>M448-N448</f>
        <v/>
      </c>
      <c r="P448" s="17">
        <f>IFERROR(O448/M448, 0)</f>
        <v/>
      </c>
      <c r="Q448" s="29" t="inlineStr">
        <is>
          <t>Delivered</t>
        </is>
      </c>
    </row>
    <row r="449">
      <c r="A449" s="33" t="n">
        <v>235</v>
      </c>
      <c r="B449" s="33" t="inlineStr">
        <is>
          <t>2025-01-27</t>
        </is>
      </c>
      <c r="C449" s="34" t="inlineStr">
        <is>
          <t>Anjali Sharma</t>
        </is>
      </c>
      <c r="D449" s="33" t="inlineStr">
        <is>
          <t>Central</t>
        </is>
      </c>
      <c r="E449" s="34" t="inlineStr">
        <is>
          <t>Gwalior</t>
        </is>
      </c>
      <c r="F449" s="34" t="inlineStr">
        <is>
          <t>Anti-Skid Yoga Mat 6mm</t>
        </is>
      </c>
      <c r="G449" s="33" t="inlineStr">
        <is>
          <t>Sports</t>
        </is>
      </c>
      <c r="H449" s="35" t="n">
        <v>4</v>
      </c>
      <c r="I449" s="20" t="n">
        <v>999</v>
      </c>
      <c r="J449" s="36" t="n">
        <v>0</v>
      </c>
      <c r="K449" s="20">
        <f>H449*I449</f>
        <v/>
      </c>
      <c r="L449" s="20">
        <f>K449*J449</f>
        <v/>
      </c>
      <c r="M449" s="20">
        <f>K449-L449</f>
        <v/>
      </c>
      <c r="N449" s="20" t="n">
        <v>1920</v>
      </c>
      <c r="O449" s="20">
        <f>M449-N449</f>
        <v/>
      </c>
      <c r="P449" s="21">
        <f>IFERROR(O449/M449, 0)</f>
        <v/>
      </c>
      <c r="Q449" s="33" t="inlineStr">
        <is>
          <t>Delivered</t>
        </is>
      </c>
    </row>
    <row r="450">
      <c r="A450" s="29" t="n">
        <v>236</v>
      </c>
      <c r="B450" s="29" t="inlineStr">
        <is>
          <t>2024-11-22</t>
        </is>
      </c>
      <c r="C450" s="30" t="inlineStr">
        <is>
          <t>Rajesh Singh</t>
        </is>
      </c>
      <c r="D450" s="29" t="inlineStr">
        <is>
          <t>West</t>
        </is>
      </c>
      <c r="E450" s="30" t="inlineStr">
        <is>
          <t>Mumbai</t>
        </is>
      </c>
      <c r="F450" s="30" t="inlineStr">
        <is>
          <t>Insulated Stainless Steel Sipper Bottle</t>
        </is>
      </c>
      <c r="G450" s="29" t="inlineStr">
        <is>
          <t>Sports</t>
        </is>
      </c>
      <c r="H450" s="31" t="n">
        <v>3</v>
      </c>
      <c r="I450" s="16" t="n">
        <v>799</v>
      </c>
      <c r="J450" s="32" t="n">
        <v>0.1</v>
      </c>
      <c r="K450" s="16">
        <f>H450*I450</f>
        <v/>
      </c>
      <c r="L450" s="16">
        <f>K450*J450</f>
        <v/>
      </c>
      <c r="M450" s="16">
        <f>K450-L450</f>
        <v/>
      </c>
      <c r="N450" s="16" t="n">
        <v>1170</v>
      </c>
      <c r="O450" s="16">
        <f>M450-N450</f>
        <v/>
      </c>
      <c r="P450" s="17">
        <f>IFERROR(O450/M450, 0)</f>
        <v/>
      </c>
      <c r="Q450" s="29" t="inlineStr">
        <is>
          <t>Delivered</t>
        </is>
      </c>
    </row>
    <row r="451">
      <c r="A451" s="33" t="n">
        <v>237</v>
      </c>
      <c r="B451" s="33" t="inlineStr">
        <is>
          <t>2024-11-24</t>
        </is>
      </c>
      <c r="C451" s="34" t="inlineStr">
        <is>
          <t>Alok Kulkarni</t>
        </is>
      </c>
      <c r="D451" s="33" t="inlineStr">
        <is>
          <t>East</t>
        </is>
      </c>
      <c r="E451" s="34" t="inlineStr">
        <is>
          <t>Bhubaneswar</t>
        </is>
      </c>
      <c r="F451" s="34" t="inlineStr">
        <is>
          <t>Unisex Classic Denim Jeans</t>
        </is>
      </c>
      <c r="G451" s="33" t="inlineStr">
        <is>
          <t>Fashion</t>
        </is>
      </c>
      <c r="H451" s="35" t="n">
        <v>1</v>
      </c>
      <c r="I451" s="20" t="n">
        <v>2499</v>
      </c>
      <c r="J451" s="36" t="n">
        <v>0</v>
      </c>
      <c r="K451" s="20">
        <f>H451*I451</f>
        <v/>
      </c>
      <c r="L451" s="20">
        <f>K451*J451</f>
        <v/>
      </c>
      <c r="M451" s="20">
        <f>K451-L451</f>
        <v/>
      </c>
      <c r="N451" s="20" t="n">
        <v>1100</v>
      </c>
      <c r="O451" s="20">
        <f>M451-N451</f>
        <v/>
      </c>
      <c r="P451" s="21">
        <f>IFERROR(O451/M451, 0)</f>
        <v/>
      </c>
      <c r="Q451" s="33" t="inlineStr">
        <is>
          <t>Delivered</t>
        </is>
      </c>
    </row>
    <row r="452">
      <c r="A452" s="29" t="n">
        <v>237</v>
      </c>
      <c r="B452" s="29" t="inlineStr">
        <is>
          <t>2024-11-24</t>
        </is>
      </c>
      <c r="C452" s="30" t="inlineStr">
        <is>
          <t>Alok Kulkarni</t>
        </is>
      </c>
      <c r="D452" s="29" t="inlineStr">
        <is>
          <t>East</t>
        </is>
      </c>
      <c r="E452" s="30" t="inlineStr">
        <is>
          <t>Bhubaneswar</t>
        </is>
      </c>
      <c r="F452" s="30" t="inlineStr">
        <is>
          <t>Cold-Pressed Extra Virgin Olive Oil 1L</t>
        </is>
      </c>
      <c r="G452" s="29" t="inlineStr">
        <is>
          <t>Groceries</t>
        </is>
      </c>
      <c r="H452" s="31" t="n">
        <v>1</v>
      </c>
      <c r="I452" s="16" t="n">
        <v>1199</v>
      </c>
      <c r="J452" s="32" t="n">
        <v>0.2</v>
      </c>
      <c r="K452" s="16">
        <f>H452*I452</f>
        <v/>
      </c>
      <c r="L452" s="16">
        <f>K452*J452</f>
        <v/>
      </c>
      <c r="M452" s="16">
        <f>K452-L452</f>
        <v/>
      </c>
      <c r="N452" s="16" t="n">
        <v>780</v>
      </c>
      <c r="O452" s="16">
        <f>M452-N452</f>
        <v/>
      </c>
      <c r="P452" s="17">
        <f>IFERROR(O452/M452, 0)</f>
        <v/>
      </c>
      <c r="Q452" s="29" t="inlineStr">
        <is>
          <t>Delivered</t>
        </is>
      </c>
    </row>
    <row r="453">
      <c r="A453" s="33" t="n">
        <v>238</v>
      </c>
      <c r="B453" s="33" t="inlineStr">
        <is>
          <t>2024-11-09</t>
        </is>
      </c>
      <c r="C453" s="34" t="inlineStr">
        <is>
          <t>Rhea Gupta</t>
        </is>
      </c>
      <c r="D453" s="33" t="inlineStr">
        <is>
          <t>West</t>
        </is>
      </c>
      <c r="E453" s="34" t="inlineStr">
        <is>
          <t>Surat</t>
        </is>
      </c>
      <c r="F453" s="34" t="inlineStr">
        <is>
          <t>Insulated Stainless Steel Sipper Bottle</t>
        </is>
      </c>
      <c r="G453" s="33" t="inlineStr">
        <is>
          <t>Sports</t>
        </is>
      </c>
      <c r="H453" s="35" t="n">
        <v>3</v>
      </c>
      <c r="I453" s="20" t="n">
        <v>799</v>
      </c>
      <c r="J453" s="36" t="n">
        <v>0.05</v>
      </c>
      <c r="K453" s="20">
        <f>H453*I453</f>
        <v/>
      </c>
      <c r="L453" s="20">
        <f>K453*J453</f>
        <v/>
      </c>
      <c r="M453" s="20">
        <f>K453-L453</f>
        <v/>
      </c>
      <c r="N453" s="20" t="n">
        <v>1170</v>
      </c>
      <c r="O453" s="20">
        <f>M453-N453</f>
        <v/>
      </c>
      <c r="P453" s="21">
        <f>IFERROR(O453/M453, 0)</f>
        <v/>
      </c>
      <c r="Q453" s="33" t="inlineStr">
        <is>
          <t>Delivered</t>
        </is>
      </c>
    </row>
    <row r="454">
      <c r="A454" s="29" t="n">
        <v>238</v>
      </c>
      <c r="B454" s="29" t="inlineStr">
        <is>
          <t>2024-11-09</t>
        </is>
      </c>
      <c r="C454" s="30" t="inlineStr">
        <is>
          <t>Rhea Gupta</t>
        </is>
      </c>
      <c r="D454" s="29" t="inlineStr">
        <is>
          <t>West</t>
        </is>
      </c>
      <c r="E454" s="30" t="inlineStr">
        <is>
          <t>Surat</t>
        </is>
      </c>
      <c r="F454" s="30" t="inlineStr">
        <is>
          <t>Stainless Steel Electric Kettle 1.8L</t>
        </is>
      </c>
      <c r="G454" s="29" t="inlineStr">
        <is>
          <t>Home &amp; Living</t>
        </is>
      </c>
      <c r="H454" s="31" t="n">
        <v>1</v>
      </c>
      <c r="I454" s="16" t="n">
        <v>1299</v>
      </c>
      <c r="J454" s="32" t="n">
        <v>0</v>
      </c>
      <c r="K454" s="16">
        <f>H454*I454</f>
        <v/>
      </c>
      <c r="L454" s="16">
        <f>K454*J454</f>
        <v/>
      </c>
      <c r="M454" s="16">
        <f>K454-L454</f>
        <v/>
      </c>
      <c r="N454" s="16" t="n">
        <v>720</v>
      </c>
      <c r="O454" s="16">
        <f>M454-N454</f>
        <v/>
      </c>
      <c r="P454" s="17">
        <f>IFERROR(O454/M454, 0)</f>
        <v/>
      </c>
      <c r="Q454" s="29" t="inlineStr">
        <is>
          <t>Delivered</t>
        </is>
      </c>
    </row>
    <row r="455">
      <c r="A455" s="33" t="n">
        <v>239</v>
      </c>
      <c r="B455" s="33" t="inlineStr">
        <is>
          <t>2025-05-19</t>
        </is>
      </c>
      <c r="C455" s="34" t="inlineStr">
        <is>
          <t>Kunal Rao</t>
        </is>
      </c>
      <c r="D455" s="33" t="inlineStr">
        <is>
          <t>East</t>
        </is>
      </c>
      <c r="E455" s="34" t="inlineStr">
        <is>
          <t>Guwahati</t>
        </is>
      </c>
      <c r="F455" s="34" t="inlineStr">
        <is>
          <t>Genuine Leather Bifold Wallet</t>
        </is>
      </c>
      <c r="G455" s="33" t="inlineStr">
        <is>
          <t>Fashion</t>
        </is>
      </c>
      <c r="H455" s="35" t="n">
        <v>1</v>
      </c>
      <c r="I455" s="20" t="n">
        <v>899</v>
      </c>
      <c r="J455" s="36" t="n">
        <v>0.15</v>
      </c>
      <c r="K455" s="20">
        <f>H455*I455</f>
        <v/>
      </c>
      <c r="L455" s="20">
        <f>K455*J455</f>
        <v/>
      </c>
      <c r="M455" s="20">
        <f>K455-L455</f>
        <v/>
      </c>
      <c r="N455" s="20" t="n">
        <v>380</v>
      </c>
      <c r="O455" s="20">
        <f>M455-N455</f>
        <v/>
      </c>
      <c r="P455" s="21">
        <f>IFERROR(O455/M455, 0)</f>
        <v/>
      </c>
      <c r="Q455" s="33" t="inlineStr">
        <is>
          <t>Processing</t>
        </is>
      </c>
    </row>
    <row r="456">
      <c r="A456" s="29" t="n">
        <v>239</v>
      </c>
      <c r="B456" s="29" t="inlineStr">
        <is>
          <t>2025-05-19</t>
        </is>
      </c>
      <c r="C456" s="30" t="inlineStr">
        <is>
          <t>Kunal Rao</t>
        </is>
      </c>
      <c r="D456" s="29" t="inlineStr">
        <is>
          <t>East</t>
        </is>
      </c>
      <c r="E456" s="30" t="inlineStr">
        <is>
          <t>Guwahati</t>
        </is>
      </c>
      <c r="F456" s="30" t="inlineStr">
        <is>
          <t>Stainless Steel Electric Kettle 1.8L</t>
        </is>
      </c>
      <c r="G456" s="29" t="inlineStr">
        <is>
          <t>Home &amp; Living</t>
        </is>
      </c>
      <c r="H456" s="31" t="n">
        <v>2</v>
      </c>
      <c r="I456" s="16" t="n">
        <v>1299</v>
      </c>
      <c r="J456" s="32" t="n">
        <v>0.12</v>
      </c>
      <c r="K456" s="16">
        <f>H456*I456</f>
        <v/>
      </c>
      <c r="L456" s="16">
        <f>K456*J456</f>
        <v/>
      </c>
      <c r="M456" s="16">
        <f>K456-L456</f>
        <v/>
      </c>
      <c r="N456" s="16" t="n">
        <v>1440</v>
      </c>
      <c r="O456" s="16">
        <f>M456-N456</f>
        <v/>
      </c>
      <c r="P456" s="17">
        <f>IFERROR(O456/M456, 0)</f>
        <v/>
      </c>
      <c r="Q456" s="29" t="inlineStr">
        <is>
          <t>Processing</t>
        </is>
      </c>
    </row>
    <row r="457">
      <c r="A457" s="33" t="n">
        <v>239</v>
      </c>
      <c r="B457" s="33" t="inlineStr">
        <is>
          <t>2025-05-19</t>
        </is>
      </c>
      <c r="C457" s="34" t="inlineStr">
        <is>
          <t>Kunal Rao</t>
        </is>
      </c>
      <c r="D457" s="33" t="inlineStr">
        <is>
          <t>East</t>
        </is>
      </c>
      <c r="E457" s="34" t="inlineStr">
        <is>
          <t>Guwahati</t>
        </is>
      </c>
      <c r="F457" s="34" t="inlineStr">
        <is>
          <t>Skipping Rope with Digital Counter</t>
        </is>
      </c>
      <c r="G457" s="33" t="inlineStr">
        <is>
          <t>Sports</t>
        </is>
      </c>
      <c r="H457" s="35" t="n">
        <v>2</v>
      </c>
      <c r="I457" s="20" t="n">
        <v>499</v>
      </c>
      <c r="J457" s="36" t="n">
        <v>0.05</v>
      </c>
      <c r="K457" s="20">
        <f>H457*I457</f>
        <v/>
      </c>
      <c r="L457" s="20">
        <f>K457*J457</f>
        <v/>
      </c>
      <c r="M457" s="20">
        <f>K457-L457</f>
        <v/>
      </c>
      <c r="N457" s="20" t="n">
        <v>420</v>
      </c>
      <c r="O457" s="20">
        <f>M457-N457</f>
        <v/>
      </c>
      <c r="P457" s="21">
        <f>IFERROR(O457/M457, 0)</f>
        <v/>
      </c>
      <c r="Q457" s="33" t="inlineStr">
        <is>
          <t>Processing</t>
        </is>
      </c>
    </row>
    <row r="458">
      <c r="A458" s="29" t="n">
        <v>240</v>
      </c>
      <c r="B458" s="29" t="inlineStr">
        <is>
          <t>2024-12-21</t>
        </is>
      </c>
      <c r="C458" s="30" t="inlineStr">
        <is>
          <t>Kavita Nair</t>
        </is>
      </c>
      <c r="D458" s="29" t="inlineStr">
        <is>
          <t>West</t>
        </is>
      </c>
      <c r="E458" s="30" t="inlineStr">
        <is>
          <t>Mumbai</t>
        </is>
      </c>
      <c r="F458" s="30" t="inlineStr">
        <is>
          <t>Mechanical Gaming Keyboard</t>
        </is>
      </c>
      <c r="G458" s="29" t="inlineStr">
        <is>
          <t>Electronics</t>
        </is>
      </c>
      <c r="H458" s="31" t="n">
        <v>1</v>
      </c>
      <c r="I458" s="16" t="n">
        <v>3299</v>
      </c>
      <c r="J458" s="32" t="n">
        <v>0.2</v>
      </c>
      <c r="K458" s="16">
        <f>H458*I458</f>
        <v/>
      </c>
      <c r="L458" s="16">
        <f>K458*J458</f>
        <v/>
      </c>
      <c r="M458" s="16">
        <f>K458-L458</f>
        <v/>
      </c>
      <c r="N458" s="16" t="n">
        <v>2100</v>
      </c>
      <c r="O458" s="16">
        <f>M458-N458</f>
        <v/>
      </c>
      <c r="P458" s="17">
        <f>IFERROR(O458/M458, 0)</f>
        <v/>
      </c>
      <c r="Q458" s="29" t="inlineStr">
        <is>
          <t>Delivered</t>
        </is>
      </c>
    </row>
    <row r="459">
      <c r="A459" s="33" t="n">
        <v>241</v>
      </c>
      <c r="B459" s="33" t="inlineStr">
        <is>
          <t>2025-09-01</t>
        </is>
      </c>
      <c r="C459" s="34" t="inlineStr">
        <is>
          <t>Shreya Rao</t>
        </is>
      </c>
      <c r="D459" s="33" t="inlineStr">
        <is>
          <t>South</t>
        </is>
      </c>
      <c r="E459" s="34" t="inlineStr">
        <is>
          <t>Kochi</t>
        </is>
      </c>
      <c r="F459" s="34" t="inlineStr">
        <is>
          <t>Genuine Leather Bifold Wallet</t>
        </is>
      </c>
      <c r="G459" s="33" t="inlineStr">
        <is>
          <t>Fashion</t>
        </is>
      </c>
      <c r="H459" s="35" t="n">
        <v>2</v>
      </c>
      <c r="I459" s="20" t="n">
        <v>899</v>
      </c>
      <c r="J459" s="36" t="n">
        <v>0.1</v>
      </c>
      <c r="K459" s="20">
        <f>H459*I459</f>
        <v/>
      </c>
      <c r="L459" s="20">
        <f>K459*J459</f>
        <v/>
      </c>
      <c r="M459" s="20">
        <f>K459-L459</f>
        <v/>
      </c>
      <c r="N459" s="20" t="n">
        <v>760</v>
      </c>
      <c r="O459" s="20">
        <f>M459-N459</f>
        <v/>
      </c>
      <c r="P459" s="21">
        <f>IFERROR(O459/M459, 0)</f>
        <v/>
      </c>
      <c r="Q459" s="33" t="inlineStr">
        <is>
          <t>Delivered</t>
        </is>
      </c>
    </row>
    <row r="460">
      <c r="A460" s="29" t="n">
        <v>241</v>
      </c>
      <c r="B460" s="29" t="inlineStr">
        <is>
          <t>2025-09-01</t>
        </is>
      </c>
      <c r="C460" s="30" t="inlineStr">
        <is>
          <t>Shreya Rao</t>
        </is>
      </c>
      <c r="D460" s="29" t="inlineStr">
        <is>
          <t>South</t>
        </is>
      </c>
      <c r="E460" s="30" t="inlineStr">
        <is>
          <t>Kochi</t>
        </is>
      </c>
      <c r="F460" s="30" t="inlineStr">
        <is>
          <t>Ultra HD Smart LED TV 55-inch</t>
        </is>
      </c>
      <c r="G460" s="29" t="inlineStr">
        <is>
          <t>Electronics</t>
        </is>
      </c>
      <c r="H460" s="31" t="n">
        <v>1</v>
      </c>
      <c r="I460" s="16" t="n">
        <v>42999</v>
      </c>
      <c r="J460" s="32" t="n">
        <v>0.05</v>
      </c>
      <c r="K460" s="16">
        <f>H460*I460</f>
        <v/>
      </c>
      <c r="L460" s="16">
        <f>K460*J460</f>
        <v/>
      </c>
      <c r="M460" s="16">
        <f>K460-L460</f>
        <v/>
      </c>
      <c r="N460" s="16" t="n">
        <v>31000</v>
      </c>
      <c r="O460" s="16">
        <f>M460-N460</f>
        <v/>
      </c>
      <c r="P460" s="17">
        <f>IFERROR(O460/M460, 0)</f>
        <v/>
      </c>
      <c r="Q460" s="29" t="inlineStr">
        <is>
          <t>Delivered</t>
        </is>
      </c>
    </row>
    <row r="461">
      <c r="A461" s="33" t="n">
        <v>241</v>
      </c>
      <c r="B461" s="33" t="inlineStr">
        <is>
          <t>2025-09-01</t>
        </is>
      </c>
      <c r="C461" s="34" t="inlineStr">
        <is>
          <t>Shreya Rao</t>
        </is>
      </c>
      <c r="D461" s="33" t="inlineStr">
        <is>
          <t>South</t>
        </is>
      </c>
      <c r="E461" s="34" t="inlineStr">
        <is>
          <t>Kochi</t>
        </is>
      </c>
      <c r="F461" s="34" t="inlineStr">
        <is>
          <t>Anti-Skid Yoga Mat 6mm</t>
        </is>
      </c>
      <c r="G461" s="33" t="inlineStr">
        <is>
          <t>Sports</t>
        </is>
      </c>
      <c r="H461" s="35" t="n">
        <v>1</v>
      </c>
      <c r="I461" s="20" t="n">
        <v>999</v>
      </c>
      <c r="J461" s="36" t="n">
        <v>0.1</v>
      </c>
      <c r="K461" s="20">
        <f>H461*I461</f>
        <v/>
      </c>
      <c r="L461" s="20">
        <f>K461*J461</f>
        <v/>
      </c>
      <c r="M461" s="20">
        <f>K461-L461</f>
        <v/>
      </c>
      <c r="N461" s="20" t="n">
        <v>480</v>
      </c>
      <c r="O461" s="20">
        <f>M461-N461</f>
        <v/>
      </c>
      <c r="P461" s="21">
        <f>IFERROR(O461/M461, 0)</f>
        <v/>
      </c>
      <c r="Q461" s="33" t="inlineStr">
        <is>
          <t>Delivered</t>
        </is>
      </c>
    </row>
    <row r="462">
      <c r="A462" s="29" t="n">
        <v>241</v>
      </c>
      <c r="B462" s="29" t="inlineStr">
        <is>
          <t>2025-09-01</t>
        </is>
      </c>
      <c r="C462" s="30" t="inlineStr">
        <is>
          <t>Shreya Rao</t>
        </is>
      </c>
      <c r="D462" s="29" t="inlineStr">
        <is>
          <t>South</t>
        </is>
      </c>
      <c r="E462" s="30" t="inlineStr">
        <is>
          <t>Kochi</t>
        </is>
      </c>
      <c r="F462" s="30" t="inlineStr">
        <is>
          <t>Unisex Classic Denim Jeans</t>
        </is>
      </c>
      <c r="G462" s="29" t="inlineStr">
        <is>
          <t>Fashion</t>
        </is>
      </c>
      <c r="H462" s="31" t="n">
        <v>1</v>
      </c>
      <c r="I462" s="16" t="n">
        <v>2499</v>
      </c>
      <c r="J462" s="32" t="n">
        <v>0.15</v>
      </c>
      <c r="K462" s="16">
        <f>H462*I462</f>
        <v/>
      </c>
      <c r="L462" s="16">
        <f>K462*J462</f>
        <v/>
      </c>
      <c r="M462" s="16">
        <f>K462-L462</f>
        <v/>
      </c>
      <c r="N462" s="16" t="n">
        <v>1100</v>
      </c>
      <c r="O462" s="16">
        <f>M462-N462</f>
        <v/>
      </c>
      <c r="P462" s="17">
        <f>IFERROR(O462/M462, 0)</f>
        <v/>
      </c>
      <c r="Q462" s="29" t="inlineStr">
        <is>
          <t>Delivered</t>
        </is>
      </c>
    </row>
    <row r="463">
      <c r="A463" s="33" t="n">
        <v>242</v>
      </c>
      <c r="B463" s="33" t="inlineStr">
        <is>
          <t>2025-10-05</t>
        </is>
      </c>
      <c r="C463" s="34" t="inlineStr">
        <is>
          <t>Nandini Patel</t>
        </is>
      </c>
      <c r="D463" s="33" t="inlineStr">
        <is>
          <t>West</t>
        </is>
      </c>
      <c r="E463" s="34" t="inlineStr">
        <is>
          <t>Nagpur</t>
        </is>
      </c>
      <c r="F463" s="34" t="inlineStr">
        <is>
          <t>Pure Raw Honey 500g</t>
        </is>
      </c>
      <c r="G463" s="33" t="inlineStr">
        <is>
          <t>Groceries</t>
        </is>
      </c>
      <c r="H463" s="35" t="n">
        <v>1</v>
      </c>
      <c r="I463" s="20" t="n">
        <v>399</v>
      </c>
      <c r="J463" s="36" t="n">
        <v>0</v>
      </c>
      <c r="K463" s="20">
        <f>H463*I463</f>
        <v/>
      </c>
      <c r="L463" s="20">
        <f>K463*J463</f>
        <v/>
      </c>
      <c r="M463" s="20">
        <f>K463-L463</f>
        <v/>
      </c>
      <c r="N463" s="20" t="n">
        <v>210</v>
      </c>
      <c r="O463" s="20">
        <f>M463-N463</f>
        <v/>
      </c>
      <c r="P463" s="21">
        <f>IFERROR(O463/M463, 0)</f>
        <v/>
      </c>
      <c r="Q463" s="33" t="inlineStr">
        <is>
          <t>Delivered</t>
        </is>
      </c>
    </row>
    <row r="464">
      <c r="A464" s="29" t="n">
        <v>243</v>
      </c>
      <c r="B464" s="29" t="inlineStr">
        <is>
          <t>2024-12-08</t>
        </is>
      </c>
      <c r="C464" s="30" t="inlineStr">
        <is>
          <t>Tarun Reddy</t>
        </is>
      </c>
      <c r="D464" s="29" t="inlineStr">
        <is>
          <t>North</t>
        </is>
      </c>
      <c r="E464" s="30" t="inlineStr">
        <is>
          <t>Lucknow</t>
        </is>
      </c>
      <c r="F464" s="30" t="inlineStr">
        <is>
          <t>Stainless Steel Electric Kettle 1.8L</t>
        </is>
      </c>
      <c r="G464" s="29" t="inlineStr">
        <is>
          <t>Home &amp; Living</t>
        </is>
      </c>
      <c r="H464" s="31" t="n">
        <v>2</v>
      </c>
      <c r="I464" s="16" t="n">
        <v>1299</v>
      </c>
      <c r="J464" s="32" t="n">
        <v>0.15</v>
      </c>
      <c r="K464" s="16">
        <f>H464*I464</f>
        <v/>
      </c>
      <c r="L464" s="16">
        <f>K464*J464</f>
        <v/>
      </c>
      <c r="M464" s="16">
        <f>K464-L464</f>
        <v/>
      </c>
      <c r="N464" s="16" t="n">
        <v>1440</v>
      </c>
      <c r="O464" s="16">
        <f>M464-N464</f>
        <v/>
      </c>
      <c r="P464" s="17">
        <f>IFERROR(O464/M464, 0)</f>
        <v/>
      </c>
      <c r="Q464" s="29" t="inlineStr">
        <is>
          <t>Delivered</t>
        </is>
      </c>
    </row>
    <row r="465">
      <c r="A465" s="33" t="n">
        <v>244</v>
      </c>
      <c r="B465" s="33" t="inlineStr">
        <is>
          <t>2025-05-19</t>
        </is>
      </c>
      <c r="C465" s="34" t="inlineStr">
        <is>
          <t>Amit Gupta</t>
        </is>
      </c>
      <c r="D465" s="33" t="inlineStr">
        <is>
          <t>Central</t>
        </is>
      </c>
      <c r="E465" s="34" t="inlineStr">
        <is>
          <t>Gwalior</t>
        </is>
      </c>
      <c r="F465" s="34" t="inlineStr">
        <is>
          <t>Mechanical Gaming Keyboard</t>
        </is>
      </c>
      <c r="G465" s="33" t="inlineStr">
        <is>
          <t>Electronics</t>
        </is>
      </c>
      <c r="H465" s="35" t="n">
        <v>1</v>
      </c>
      <c r="I465" s="20" t="n">
        <v>3299</v>
      </c>
      <c r="J465" s="36" t="n">
        <v>0.05</v>
      </c>
      <c r="K465" s="20">
        <f>H465*I465</f>
        <v/>
      </c>
      <c r="L465" s="20">
        <f>K465*J465</f>
        <v/>
      </c>
      <c r="M465" s="20">
        <f>K465-L465</f>
        <v/>
      </c>
      <c r="N465" s="20" t="n">
        <v>2100</v>
      </c>
      <c r="O465" s="20">
        <f>M465-N465</f>
        <v/>
      </c>
      <c r="P465" s="21">
        <f>IFERROR(O465/M465, 0)</f>
        <v/>
      </c>
      <c r="Q465" s="33" t="inlineStr">
        <is>
          <t>Delivered</t>
        </is>
      </c>
    </row>
    <row r="466">
      <c r="A466" s="29" t="n">
        <v>245</v>
      </c>
      <c r="B466" s="29" t="inlineStr">
        <is>
          <t>2025-05-04</t>
        </is>
      </c>
      <c r="C466" s="30" t="inlineStr">
        <is>
          <t>Alok Rao</t>
        </is>
      </c>
      <c r="D466" s="29" t="inlineStr">
        <is>
          <t>North</t>
        </is>
      </c>
      <c r="E466" s="30" t="inlineStr">
        <is>
          <t>Jaipur</t>
        </is>
      </c>
      <c r="F466" s="30" t="inlineStr">
        <is>
          <t>Smart Fitness Watch Pro</t>
        </is>
      </c>
      <c r="G466" s="29" t="inlineStr">
        <is>
          <t>Electronics</t>
        </is>
      </c>
      <c r="H466" s="31" t="n">
        <v>1</v>
      </c>
      <c r="I466" s="16" t="n">
        <v>4999</v>
      </c>
      <c r="J466" s="32" t="n">
        <v>0.1</v>
      </c>
      <c r="K466" s="16">
        <f>H466*I466</f>
        <v/>
      </c>
      <c r="L466" s="16">
        <f>K466*J466</f>
        <v/>
      </c>
      <c r="M466" s="16">
        <f>K466-L466</f>
        <v/>
      </c>
      <c r="N466" s="16" t="n">
        <v>3200</v>
      </c>
      <c r="O466" s="16">
        <f>M466-N466</f>
        <v/>
      </c>
      <c r="P466" s="17">
        <f>IFERROR(O466/M466, 0)</f>
        <v/>
      </c>
      <c r="Q466" s="29" t="inlineStr">
        <is>
          <t>Cancelled</t>
        </is>
      </c>
    </row>
    <row r="467">
      <c r="A467" s="33" t="n">
        <v>246</v>
      </c>
      <c r="B467" s="33" t="inlineStr">
        <is>
          <t>2025-08-13</t>
        </is>
      </c>
      <c r="C467" s="34" t="inlineStr">
        <is>
          <t>Neha Verma</t>
        </is>
      </c>
      <c r="D467" s="33" t="inlineStr">
        <is>
          <t>Central</t>
        </is>
      </c>
      <c r="E467" s="34" t="inlineStr">
        <is>
          <t>Bhopal</t>
        </is>
      </c>
      <c r="F467" s="34" t="inlineStr">
        <is>
          <t>Ergonomic Wireless Mouse</t>
        </is>
      </c>
      <c r="G467" s="33" t="inlineStr">
        <is>
          <t>Electronics</t>
        </is>
      </c>
      <c r="H467" s="35" t="n">
        <v>1</v>
      </c>
      <c r="I467" s="20" t="n">
        <v>1299</v>
      </c>
      <c r="J467" s="36" t="n">
        <v>0.12</v>
      </c>
      <c r="K467" s="20">
        <f>H467*I467</f>
        <v/>
      </c>
      <c r="L467" s="20">
        <f>K467*J467</f>
        <v/>
      </c>
      <c r="M467" s="20">
        <f>K467-L467</f>
        <v/>
      </c>
      <c r="N467" s="20" t="n">
        <v>750</v>
      </c>
      <c r="O467" s="20">
        <f>M467-N467</f>
        <v/>
      </c>
      <c r="P467" s="21">
        <f>IFERROR(O467/M467, 0)</f>
        <v/>
      </c>
      <c r="Q467" s="33" t="inlineStr">
        <is>
          <t>Shipped</t>
        </is>
      </c>
    </row>
    <row r="468">
      <c r="A468" s="29" t="n">
        <v>246</v>
      </c>
      <c r="B468" s="29" t="inlineStr">
        <is>
          <t>2025-08-13</t>
        </is>
      </c>
      <c r="C468" s="30" t="inlineStr">
        <is>
          <t>Neha Verma</t>
        </is>
      </c>
      <c r="D468" s="29" t="inlineStr">
        <is>
          <t>Central</t>
        </is>
      </c>
      <c r="E468" s="30" t="inlineStr">
        <is>
          <t>Bhopal</t>
        </is>
      </c>
      <c r="F468" s="30" t="inlineStr">
        <is>
          <t>Ultra HD Smart LED TV 55-inch</t>
        </is>
      </c>
      <c r="G468" s="29" t="inlineStr">
        <is>
          <t>Electronics</t>
        </is>
      </c>
      <c r="H468" s="31" t="n">
        <v>1</v>
      </c>
      <c r="I468" s="16" t="n">
        <v>42999</v>
      </c>
      <c r="J468" s="32" t="n">
        <v>0.12</v>
      </c>
      <c r="K468" s="16">
        <f>H468*I468</f>
        <v/>
      </c>
      <c r="L468" s="16">
        <f>K468*J468</f>
        <v/>
      </c>
      <c r="M468" s="16">
        <f>K468-L468</f>
        <v/>
      </c>
      <c r="N468" s="16" t="n">
        <v>31000</v>
      </c>
      <c r="O468" s="16">
        <f>M468-N468</f>
        <v/>
      </c>
      <c r="P468" s="17">
        <f>IFERROR(O468/M468, 0)</f>
        <v/>
      </c>
      <c r="Q468" s="29" t="inlineStr">
        <is>
          <t>Shipped</t>
        </is>
      </c>
    </row>
    <row r="469">
      <c r="A469" s="33" t="n">
        <v>247</v>
      </c>
      <c r="B469" s="33" t="inlineStr">
        <is>
          <t>2025-05-17</t>
        </is>
      </c>
      <c r="C469" s="34" t="inlineStr">
        <is>
          <t>Nandini Singh</t>
        </is>
      </c>
      <c r="D469" s="33" t="inlineStr">
        <is>
          <t>Central</t>
        </is>
      </c>
      <c r="E469" s="34" t="inlineStr">
        <is>
          <t>Gwalior</t>
        </is>
      </c>
      <c r="F469" s="34" t="inlineStr">
        <is>
          <t>Stainless Steel Electric Kettle 1.8L</t>
        </is>
      </c>
      <c r="G469" s="33" t="inlineStr">
        <is>
          <t>Home &amp; Living</t>
        </is>
      </c>
      <c r="H469" s="35" t="n">
        <v>2</v>
      </c>
      <c r="I469" s="20" t="n">
        <v>1299</v>
      </c>
      <c r="J469" s="36" t="n">
        <v>0.15</v>
      </c>
      <c r="K469" s="20">
        <f>H469*I469</f>
        <v/>
      </c>
      <c r="L469" s="20">
        <f>K469*J469</f>
        <v/>
      </c>
      <c r="M469" s="20">
        <f>K469-L469</f>
        <v/>
      </c>
      <c r="N469" s="20" t="n">
        <v>1440</v>
      </c>
      <c r="O469" s="20">
        <f>M469-N469</f>
        <v/>
      </c>
      <c r="P469" s="21">
        <f>IFERROR(O469/M469, 0)</f>
        <v/>
      </c>
      <c r="Q469" s="33" t="inlineStr">
        <is>
          <t>Delivered</t>
        </is>
      </c>
    </row>
    <row r="470">
      <c r="A470" s="29" t="n">
        <v>248</v>
      </c>
      <c r="B470" s="29" t="inlineStr">
        <is>
          <t>2025-03-05</t>
        </is>
      </c>
      <c r="C470" s="30" t="inlineStr">
        <is>
          <t>Meera Patel</t>
        </is>
      </c>
      <c r="D470" s="29" t="inlineStr">
        <is>
          <t>North</t>
        </is>
      </c>
      <c r="E470" s="30" t="inlineStr">
        <is>
          <t>Gurgaon</t>
        </is>
      </c>
      <c r="F470" s="30" t="inlineStr">
        <is>
          <t>Adjustable Dumbbell Set 20kg</t>
        </is>
      </c>
      <c r="G470" s="29" t="inlineStr">
        <is>
          <t>Sports</t>
        </is>
      </c>
      <c r="H470" s="31" t="n">
        <v>1</v>
      </c>
      <c r="I470" s="16" t="n">
        <v>4299</v>
      </c>
      <c r="J470" s="32" t="n">
        <v>0.05</v>
      </c>
      <c r="K470" s="16">
        <f>H470*I470</f>
        <v/>
      </c>
      <c r="L470" s="16">
        <f>K470*J470</f>
        <v/>
      </c>
      <c r="M470" s="16">
        <f>K470-L470</f>
        <v/>
      </c>
      <c r="N470" s="16" t="n">
        <v>2600</v>
      </c>
      <c r="O470" s="16">
        <f>M470-N470</f>
        <v/>
      </c>
      <c r="P470" s="17">
        <f>IFERROR(O470/M470, 0)</f>
        <v/>
      </c>
      <c r="Q470" s="29" t="inlineStr">
        <is>
          <t>Shipped</t>
        </is>
      </c>
    </row>
    <row r="471">
      <c r="A471" s="33" t="n">
        <v>248</v>
      </c>
      <c r="B471" s="33" t="inlineStr">
        <is>
          <t>2025-03-05</t>
        </is>
      </c>
      <c r="C471" s="34" t="inlineStr">
        <is>
          <t>Meera Patel</t>
        </is>
      </c>
      <c r="D471" s="33" t="inlineStr">
        <is>
          <t>North</t>
        </is>
      </c>
      <c r="E471" s="34" t="inlineStr">
        <is>
          <t>Gurgaon</t>
        </is>
      </c>
      <c r="F471" s="34" t="inlineStr">
        <is>
          <t>Stainless Steel Electric Kettle 1.8L</t>
        </is>
      </c>
      <c r="G471" s="33" t="inlineStr">
        <is>
          <t>Home &amp; Living</t>
        </is>
      </c>
      <c r="H471" s="35" t="n">
        <v>1</v>
      </c>
      <c r="I471" s="20" t="n">
        <v>1299</v>
      </c>
      <c r="J471" s="36" t="n">
        <v>0.1</v>
      </c>
      <c r="K471" s="20">
        <f>H471*I471</f>
        <v/>
      </c>
      <c r="L471" s="20">
        <f>K471*J471</f>
        <v/>
      </c>
      <c r="M471" s="20">
        <f>K471-L471</f>
        <v/>
      </c>
      <c r="N471" s="20" t="n">
        <v>720</v>
      </c>
      <c r="O471" s="20">
        <f>M471-N471</f>
        <v/>
      </c>
      <c r="P471" s="21">
        <f>IFERROR(O471/M471, 0)</f>
        <v/>
      </c>
      <c r="Q471" s="33" t="inlineStr">
        <is>
          <t>Shipped</t>
        </is>
      </c>
    </row>
    <row r="472">
      <c r="A472" s="29" t="n">
        <v>249</v>
      </c>
      <c r="B472" s="29" t="inlineStr">
        <is>
          <t>2024-12-03</t>
        </is>
      </c>
      <c r="C472" s="30" t="inlineStr">
        <is>
          <t>Ishaan Banerjee</t>
        </is>
      </c>
      <c r="D472" s="29" t="inlineStr">
        <is>
          <t>East</t>
        </is>
      </c>
      <c r="E472" s="30" t="inlineStr">
        <is>
          <t>Bhubaneswar</t>
        </is>
      </c>
      <c r="F472" s="30" t="inlineStr">
        <is>
          <t>Double Bed Pure Cotton Bedsheet</t>
        </is>
      </c>
      <c r="G472" s="29" t="inlineStr">
        <is>
          <t>Home &amp; Living</t>
        </is>
      </c>
      <c r="H472" s="31" t="n">
        <v>1</v>
      </c>
      <c r="I472" s="16" t="n">
        <v>1599</v>
      </c>
      <c r="J472" s="32" t="n">
        <v>0.2</v>
      </c>
      <c r="K472" s="16">
        <f>H472*I472</f>
        <v/>
      </c>
      <c r="L472" s="16">
        <f>K472*J472</f>
        <v/>
      </c>
      <c r="M472" s="16">
        <f>K472-L472</f>
        <v/>
      </c>
      <c r="N472" s="16" t="n">
        <v>780</v>
      </c>
      <c r="O472" s="16">
        <f>M472-N472</f>
        <v/>
      </c>
      <c r="P472" s="17">
        <f>IFERROR(O472/M472, 0)</f>
        <v/>
      </c>
      <c r="Q472" s="29" t="inlineStr">
        <is>
          <t>Delivered</t>
        </is>
      </c>
    </row>
    <row r="473">
      <c r="A473" s="33" t="n">
        <v>250</v>
      </c>
      <c r="B473" s="33" t="inlineStr">
        <is>
          <t>2025-05-04</t>
        </is>
      </c>
      <c r="C473" s="34" t="inlineStr">
        <is>
          <t>Sneha Saxena</t>
        </is>
      </c>
      <c r="D473" s="33" t="inlineStr">
        <is>
          <t>West</t>
        </is>
      </c>
      <c r="E473" s="34" t="inlineStr">
        <is>
          <t>Nagpur</t>
        </is>
      </c>
      <c r="F473" s="34" t="inlineStr">
        <is>
          <t>Skipping Rope with Digital Counter</t>
        </is>
      </c>
      <c r="G473" s="33" t="inlineStr">
        <is>
          <t>Sports</t>
        </is>
      </c>
      <c r="H473" s="35" t="n">
        <v>1</v>
      </c>
      <c r="I473" s="20" t="n">
        <v>499</v>
      </c>
      <c r="J473" s="36" t="n">
        <v>0</v>
      </c>
      <c r="K473" s="20">
        <f>H473*I473</f>
        <v/>
      </c>
      <c r="L473" s="20">
        <f>K473*J473</f>
        <v/>
      </c>
      <c r="M473" s="20">
        <f>K473-L473</f>
        <v/>
      </c>
      <c r="N473" s="20" t="n">
        <v>210</v>
      </c>
      <c r="O473" s="20">
        <f>M473-N473</f>
        <v/>
      </c>
      <c r="P473" s="21">
        <f>IFERROR(O473/M473, 0)</f>
        <v/>
      </c>
      <c r="Q473" s="33" t="inlineStr">
        <is>
          <t>Delivered</t>
        </is>
      </c>
    </row>
    <row r="474">
      <c r="A474" s="29" t="n">
        <v>250</v>
      </c>
      <c r="B474" s="29" t="inlineStr">
        <is>
          <t>2025-05-04</t>
        </is>
      </c>
      <c r="C474" s="30" t="inlineStr">
        <is>
          <t>Sneha Saxena</t>
        </is>
      </c>
      <c r="D474" s="29" t="inlineStr">
        <is>
          <t>West</t>
        </is>
      </c>
      <c r="E474" s="30" t="inlineStr">
        <is>
          <t>Nagpur</t>
        </is>
      </c>
      <c r="F474" s="30" t="inlineStr">
        <is>
          <t>Anti-Skid Yoga Mat 6mm</t>
        </is>
      </c>
      <c r="G474" s="29" t="inlineStr">
        <is>
          <t>Sports</t>
        </is>
      </c>
      <c r="H474" s="31" t="n">
        <v>1</v>
      </c>
      <c r="I474" s="16" t="n">
        <v>999</v>
      </c>
      <c r="J474" s="32" t="n">
        <v>0</v>
      </c>
      <c r="K474" s="16">
        <f>H474*I474</f>
        <v/>
      </c>
      <c r="L474" s="16">
        <f>K474*J474</f>
        <v/>
      </c>
      <c r="M474" s="16">
        <f>K474-L474</f>
        <v/>
      </c>
      <c r="N474" s="16" t="n">
        <v>480</v>
      </c>
      <c r="O474" s="16">
        <f>M474-N474</f>
        <v/>
      </c>
      <c r="P474" s="17">
        <f>IFERROR(O474/M474, 0)</f>
        <v/>
      </c>
      <c r="Q474" s="29" t="inlineStr">
        <is>
          <t>Delivered</t>
        </is>
      </c>
    </row>
    <row r="475">
      <c r="A475" s="33" t="n">
        <v>250</v>
      </c>
      <c r="B475" s="33" t="inlineStr">
        <is>
          <t>2025-05-04</t>
        </is>
      </c>
      <c r="C475" s="34" t="inlineStr">
        <is>
          <t>Sneha Saxena</t>
        </is>
      </c>
      <c r="D475" s="33" t="inlineStr">
        <is>
          <t>West</t>
        </is>
      </c>
      <c r="E475" s="34" t="inlineStr">
        <is>
          <t>Nagpur</t>
        </is>
      </c>
      <c r="F475" s="34" t="inlineStr">
        <is>
          <t>Multipurpose Desk Organizer Set</t>
        </is>
      </c>
      <c r="G475" s="33" t="inlineStr">
        <is>
          <t>Home &amp; Living</t>
        </is>
      </c>
      <c r="H475" s="35" t="n">
        <v>1</v>
      </c>
      <c r="I475" s="20" t="n">
        <v>699</v>
      </c>
      <c r="J475" s="36" t="n">
        <v>0.1</v>
      </c>
      <c r="K475" s="20">
        <f>H475*I475</f>
        <v/>
      </c>
      <c r="L475" s="20">
        <f>K475*J475</f>
        <v/>
      </c>
      <c r="M475" s="20">
        <f>K475-L475</f>
        <v/>
      </c>
      <c r="N475" s="20" t="n">
        <v>290</v>
      </c>
      <c r="O475" s="20">
        <f>M475-N475</f>
        <v/>
      </c>
      <c r="P475" s="21">
        <f>IFERROR(O475/M475, 0)</f>
        <v/>
      </c>
      <c r="Q475" s="33" t="inlineStr">
        <is>
          <t>Delivered</t>
        </is>
      </c>
    </row>
    <row r="476">
      <c r="A476" s="29" t="n">
        <v>251</v>
      </c>
      <c r="B476" s="29" t="inlineStr">
        <is>
          <t>2025-09-14</t>
        </is>
      </c>
      <c r="C476" s="30" t="inlineStr">
        <is>
          <t>Shreya Kapoor</t>
        </is>
      </c>
      <c r="D476" s="29" t="inlineStr">
        <is>
          <t>East</t>
        </is>
      </c>
      <c r="E476" s="30" t="inlineStr">
        <is>
          <t>Bhubaneswar</t>
        </is>
      </c>
      <c r="F476" s="30" t="inlineStr">
        <is>
          <t>Genuine Leather Bifold Wallet</t>
        </is>
      </c>
      <c r="G476" s="29" t="inlineStr">
        <is>
          <t>Fashion</t>
        </is>
      </c>
      <c r="H476" s="31" t="n">
        <v>2</v>
      </c>
      <c r="I476" s="16" t="n">
        <v>899</v>
      </c>
      <c r="J476" s="32" t="n">
        <v>0.2</v>
      </c>
      <c r="K476" s="16">
        <f>H476*I476</f>
        <v/>
      </c>
      <c r="L476" s="16">
        <f>K476*J476</f>
        <v/>
      </c>
      <c r="M476" s="16">
        <f>K476-L476</f>
        <v/>
      </c>
      <c r="N476" s="16" t="n">
        <v>760</v>
      </c>
      <c r="O476" s="16">
        <f>M476-N476</f>
        <v/>
      </c>
      <c r="P476" s="17">
        <f>IFERROR(O476/M476, 0)</f>
        <v/>
      </c>
      <c r="Q476" s="29" t="inlineStr">
        <is>
          <t>Delivered</t>
        </is>
      </c>
    </row>
    <row r="477">
      <c r="A477" s="33" t="n">
        <v>251</v>
      </c>
      <c r="B477" s="33" t="inlineStr">
        <is>
          <t>2025-09-14</t>
        </is>
      </c>
      <c r="C477" s="34" t="inlineStr">
        <is>
          <t>Shreya Kapoor</t>
        </is>
      </c>
      <c r="D477" s="33" t="inlineStr">
        <is>
          <t>East</t>
        </is>
      </c>
      <c r="E477" s="34" t="inlineStr">
        <is>
          <t>Bhubaneswar</t>
        </is>
      </c>
      <c r="F477" s="34" t="inlineStr">
        <is>
          <t>Automatic Air Fryer 4.5L</t>
        </is>
      </c>
      <c r="G477" s="33" t="inlineStr">
        <is>
          <t>Home &amp; Living</t>
        </is>
      </c>
      <c r="H477" s="35" t="n">
        <v>2</v>
      </c>
      <c r="I477" s="20" t="n">
        <v>5499</v>
      </c>
      <c r="J477" s="36" t="n">
        <v>0.12</v>
      </c>
      <c r="K477" s="20">
        <f>H477*I477</f>
        <v/>
      </c>
      <c r="L477" s="20">
        <f>K477*J477</f>
        <v/>
      </c>
      <c r="M477" s="20">
        <f>K477-L477</f>
        <v/>
      </c>
      <c r="N477" s="20" t="n">
        <v>7200</v>
      </c>
      <c r="O477" s="20">
        <f>M477-N477</f>
        <v/>
      </c>
      <c r="P477" s="21">
        <f>IFERROR(O477/M477, 0)</f>
        <v/>
      </c>
      <c r="Q477" s="33" t="inlineStr">
        <is>
          <t>Delivered</t>
        </is>
      </c>
    </row>
    <row r="478">
      <c r="A478" s="29" t="n">
        <v>251</v>
      </c>
      <c r="B478" s="29" t="inlineStr">
        <is>
          <t>2025-09-14</t>
        </is>
      </c>
      <c r="C478" s="30" t="inlineStr">
        <is>
          <t>Shreya Kapoor</t>
        </is>
      </c>
      <c r="D478" s="29" t="inlineStr">
        <is>
          <t>East</t>
        </is>
      </c>
      <c r="E478" s="30" t="inlineStr">
        <is>
          <t>Bhubaneswar</t>
        </is>
      </c>
      <c r="F478" s="30" t="inlineStr">
        <is>
          <t>Double Bed Pure Cotton Bedsheet</t>
        </is>
      </c>
      <c r="G478" s="29" t="inlineStr">
        <is>
          <t>Home &amp; Living</t>
        </is>
      </c>
      <c r="H478" s="31" t="n">
        <v>1</v>
      </c>
      <c r="I478" s="16" t="n">
        <v>1599</v>
      </c>
      <c r="J478" s="32" t="n">
        <v>0.05</v>
      </c>
      <c r="K478" s="16">
        <f>H478*I478</f>
        <v/>
      </c>
      <c r="L478" s="16">
        <f>K478*J478</f>
        <v/>
      </c>
      <c r="M478" s="16">
        <f>K478-L478</f>
        <v/>
      </c>
      <c r="N478" s="16" t="n">
        <v>780</v>
      </c>
      <c r="O478" s="16">
        <f>M478-N478</f>
        <v/>
      </c>
      <c r="P478" s="17">
        <f>IFERROR(O478/M478, 0)</f>
        <v/>
      </c>
      <c r="Q478" s="29" t="inlineStr">
        <is>
          <t>Delivered</t>
        </is>
      </c>
    </row>
    <row r="479">
      <c r="A479" s="33" t="n">
        <v>252</v>
      </c>
      <c r="B479" s="33" t="inlineStr">
        <is>
          <t>2025-02-11</t>
        </is>
      </c>
      <c r="C479" s="34" t="inlineStr">
        <is>
          <t>Sunil Saxena</t>
        </is>
      </c>
      <c r="D479" s="33" t="inlineStr">
        <is>
          <t>East</t>
        </is>
      </c>
      <c r="E479" s="34" t="inlineStr">
        <is>
          <t>Guwahati</t>
        </is>
      </c>
      <c r="F479" s="34" t="inlineStr">
        <is>
          <t>Stainless Steel Electric Kettle 1.8L</t>
        </is>
      </c>
      <c r="G479" s="33" t="inlineStr">
        <is>
          <t>Home &amp; Living</t>
        </is>
      </c>
      <c r="H479" s="35" t="n">
        <v>4</v>
      </c>
      <c r="I479" s="20" t="n">
        <v>1299</v>
      </c>
      <c r="J479" s="36" t="n">
        <v>0.05</v>
      </c>
      <c r="K479" s="20">
        <f>H479*I479</f>
        <v/>
      </c>
      <c r="L479" s="20">
        <f>K479*J479</f>
        <v/>
      </c>
      <c r="M479" s="20">
        <f>K479-L479</f>
        <v/>
      </c>
      <c r="N479" s="20" t="n">
        <v>2880</v>
      </c>
      <c r="O479" s="20">
        <f>M479-N479</f>
        <v/>
      </c>
      <c r="P479" s="21">
        <f>IFERROR(O479/M479, 0)</f>
        <v/>
      </c>
      <c r="Q479" s="33" t="inlineStr">
        <is>
          <t>Delivered</t>
        </is>
      </c>
    </row>
    <row r="480">
      <c r="A480" s="29" t="n">
        <v>253</v>
      </c>
      <c r="B480" s="29" t="inlineStr">
        <is>
          <t>2025-09-21</t>
        </is>
      </c>
      <c r="C480" s="30" t="inlineStr">
        <is>
          <t>Gaurav Rao</t>
        </is>
      </c>
      <c r="D480" s="29" t="inlineStr">
        <is>
          <t>Central</t>
        </is>
      </c>
      <c r="E480" s="30" t="inlineStr">
        <is>
          <t>Gwalior</t>
        </is>
      </c>
      <c r="F480" s="30" t="inlineStr">
        <is>
          <t>Women Floral Embroidered Kurti</t>
        </is>
      </c>
      <c r="G480" s="29" t="inlineStr">
        <is>
          <t>Fashion</t>
        </is>
      </c>
      <c r="H480" s="31" t="n">
        <v>2</v>
      </c>
      <c r="I480" s="16" t="n">
        <v>1899</v>
      </c>
      <c r="J480" s="32" t="n">
        <v>0.1</v>
      </c>
      <c r="K480" s="16">
        <f>H480*I480</f>
        <v/>
      </c>
      <c r="L480" s="16">
        <f>K480*J480</f>
        <v/>
      </c>
      <c r="M480" s="16">
        <f>K480-L480</f>
        <v/>
      </c>
      <c r="N480" s="16" t="n">
        <v>1600</v>
      </c>
      <c r="O480" s="16">
        <f>M480-N480</f>
        <v/>
      </c>
      <c r="P480" s="17">
        <f>IFERROR(O480/M480, 0)</f>
        <v/>
      </c>
      <c r="Q480" s="29" t="inlineStr">
        <is>
          <t>Delivered</t>
        </is>
      </c>
    </row>
    <row r="481">
      <c r="A481" s="33" t="n">
        <v>253</v>
      </c>
      <c r="B481" s="33" t="inlineStr">
        <is>
          <t>2025-09-21</t>
        </is>
      </c>
      <c r="C481" s="34" t="inlineStr">
        <is>
          <t>Gaurav Rao</t>
        </is>
      </c>
      <c r="D481" s="33" t="inlineStr">
        <is>
          <t>Central</t>
        </is>
      </c>
      <c r="E481" s="34" t="inlineStr">
        <is>
          <t>Gwalior</t>
        </is>
      </c>
      <c r="F481" s="34" t="inlineStr">
        <is>
          <t>Genuine Leather Bifold Wallet</t>
        </is>
      </c>
      <c r="G481" s="33" t="inlineStr">
        <is>
          <t>Fashion</t>
        </is>
      </c>
      <c r="H481" s="35" t="n">
        <v>1</v>
      </c>
      <c r="I481" s="20" t="n">
        <v>899</v>
      </c>
      <c r="J481" s="36" t="n">
        <v>0.12</v>
      </c>
      <c r="K481" s="20">
        <f>H481*I481</f>
        <v/>
      </c>
      <c r="L481" s="20">
        <f>K481*J481</f>
        <v/>
      </c>
      <c r="M481" s="20">
        <f>K481-L481</f>
        <v/>
      </c>
      <c r="N481" s="20" t="n">
        <v>380</v>
      </c>
      <c r="O481" s="20">
        <f>M481-N481</f>
        <v/>
      </c>
      <c r="P481" s="21">
        <f>IFERROR(O481/M481, 0)</f>
        <v/>
      </c>
      <c r="Q481" s="33" t="inlineStr">
        <is>
          <t>Delivered</t>
        </is>
      </c>
    </row>
    <row r="482">
      <c r="A482" s="29" t="n">
        <v>253</v>
      </c>
      <c r="B482" s="29" t="inlineStr">
        <is>
          <t>2025-09-21</t>
        </is>
      </c>
      <c r="C482" s="30" t="inlineStr">
        <is>
          <t>Gaurav Rao</t>
        </is>
      </c>
      <c r="D482" s="29" t="inlineStr">
        <is>
          <t>Central</t>
        </is>
      </c>
      <c r="E482" s="30" t="inlineStr">
        <is>
          <t>Gwalior</t>
        </is>
      </c>
      <c r="F482" s="30" t="inlineStr">
        <is>
          <t>Stainless Steel Electric Kettle 1.8L</t>
        </is>
      </c>
      <c r="G482" s="29" t="inlineStr">
        <is>
          <t>Home &amp; Living</t>
        </is>
      </c>
      <c r="H482" s="31" t="n">
        <v>1</v>
      </c>
      <c r="I482" s="16" t="n">
        <v>1299</v>
      </c>
      <c r="J482" s="32" t="n">
        <v>0.12</v>
      </c>
      <c r="K482" s="16">
        <f>H482*I482</f>
        <v/>
      </c>
      <c r="L482" s="16">
        <f>K482*J482</f>
        <v/>
      </c>
      <c r="M482" s="16">
        <f>K482-L482</f>
        <v/>
      </c>
      <c r="N482" s="16" t="n">
        <v>720</v>
      </c>
      <c r="O482" s="16">
        <f>M482-N482</f>
        <v/>
      </c>
      <c r="P482" s="17">
        <f>IFERROR(O482/M482, 0)</f>
        <v/>
      </c>
      <c r="Q482" s="29" t="inlineStr">
        <is>
          <t>Delivered</t>
        </is>
      </c>
    </row>
    <row r="483">
      <c r="A483" s="33" t="n">
        <v>253</v>
      </c>
      <c r="B483" s="33" t="inlineStr">
        <is>
          <t>2025-09-21</t>
        </is>
      </c>
      <c r="C483" s="34" t="inlineStr">
        <is>
          <t>Gaurav Rao</t>
        </is>
      </c>
      <c r="D483" s="33" t="inlineStr">
        <is>
          <t>Central</t>
        </is>
      </c>
      <c r="E483" s="34" t="inlineStr">
        <is>
          <t>Gwalior</t>
        </is>
      </c>
      <c r="F483" s="34" t="inlineStr">
        <is>
          <t>Unisex Classic Denim Jeans</t>
        </is>
      </c>
      <c r="G483" s="33" t="inlineStr">
        <is>
          <t>Fashion</t>
        </is>
      </c>
      <c r="H483" s="35" t="n">
        <v>1</v>
      </c>
      <c r="I483" s="20" t="n">
        <v>2499</v>
      </c>
      <c r="J483" s="36" t="n">
        <v>0.2</v>
      </c>
      <c r="K483" s="20">
        <f>H483*I483</f>
        <v/>
      </c>
      <c r="L483" s="20">
        <f>K483*J483</f>
        <v/>
      </c>
      <c r="M483" s="20">
        <f>K483-L483</f>
        <v/>
      </c>
      <c r="N483" s="20" t="n">
        <v>1100</v>
      </c>
      <c r="O483" s="20">
        <f>M483-N483</f>
        <v/>
      </c>
      <c r="P483" s="21">
        <f>IFERROR(O483/M483, 0)</f>
        <v/>
      </c>
      <c r="Q483" s="33" t="inlineStr">
        <is>
          <t>Delivered</t>
        </is>
      </c>
    </row>
    <row r="484">
      <c r="A484" s="29" t="n">
        <v>254</v>
      </c>
      <c r="B484" s="29" t="inlineStr">
        <is>
          <t>2024-11-14</t>
        </is>
      </c>
      <c r="C484" s="30" t="inlineStr">
        <is>
          <t>Kunal Patel</t>
        </is>
      </c>
      <c r="D484" s="29" t="inlineStr">
        <is>
          <t>North</t>
        </is>
      </c>
      <c r="E484" s="30" t="inlineStr">
        <is>
          <t>Lucknow</t>
        </is>
      </c>
      <c r="F484" s="30" t="inlineStr">
        <is>
          <t>Insulated Stainless Steel Sipper Bottle</t>
        </is>
      </c>
      <c r="G484" s="29" t="inlineStr">
        <is>
          <t>Sports</t>
        </is>
      </c>
      <c r="H484" s="31" t="n">
        <v>1</v>
      </c>
      <c r="I484" s="16" t="n">
        <v>799</v>
      </c>
      <c r="J484" s="32" t="n">
        <v>0.05</v>
      </c>
      <c r="K484" s="16">
        <f>H484*I484</f>
        <v/>
      </c>
      <c r="L484" s="16">
        <f>K484*J484</f>
        <v/>
      </c>
      <c r="M484" s="16">
        <f>K484-L484</f>
        <v/>
      </c>
      <c r="N484" s="16" t="n">
        <v>390</v>
      </c>
      <c r="O484" s="16">
        <f>M484-N484</f>
        <v/>
      </c>
      <c r="P484" s="17">
        <f>IFERROR(O484/M484, 0)</f>
        <v/>
      </c>
      <c r="Q484" s="29" t="inlineStr">
        <is>
          <t>Processing</t>
        </is>
      </c>
    </row>
    <row r="485">
      <c r="A485" s="33" t="n">
        <v>254</v>
      </c>
      <c r="B485" s="33" t="inlineStr">
        <is>
          <t>2024-11-14</t>
        </is>
      </c>
      <c r="C485" s="34" t="inlineStr">
        <is>
          <t>Kunal Patel</t>
        </is>
      </c>
      <c r="D485" s="33" t="inlineStr">
        <is>
          <t>North</t>
        </is>
      </c>
      <c r="E485" s="34" t="inlineStr">
        <is>
          <t>Lucknow</t>
        </is>
      </c>
      <c r="F485" s="34" t="inlineStr">
        <is>
          <t>Men Slim-Fit Cotton Casual Shirt</t>
        </is>
      </c>
      <c r="G485" s="33" t="inlineStr">
        <is>
          <t>Fashion</t>
        </is>
      </c>
      <c r="H485" s="35" t="n">
        <v>2</v>
      </c>
      <c r="I485" s="20" t="n">
        <v>1499</v>
      </c>
      <c r="J485" s="36" t="n">
        <v>0</v>
      </c>
      <c r="K485" s="20">
        <f>H485*I485</f>
        <v/>
      </c>
      <c r="L485" s="20">
        <f>K485*J485</f>
        <v/>
      </c>
      <c r="M485" s="20">
        <f>K485-L485</f>
        <v/>
      </c>
      <c r="N485" s="20" t="n">
        <v>1300</v>
      </c>
      <c r="O485" s="20">
        <f>M485-N485</f>
        <v/>
      </c>
      <c r="P485" s="21">
        <f>IFERROR(O485/M485, 0)</f>
        <v/>
      </c>
      <c r="Q485" s="33" t="inlineStr">
        <is>
          <t>Processing</t>
        </is>
      </c>
    </row>
    <row r="486">
      <c r="A486" s="29" t="n">
        <v>255</v>
      </c>
      <c r="B486" s="29" t="inlineStr">
        <is>
          <t>2025-10-11</t>
        </is>
      </c>
      <c r="C486" s="30" t="inlineStr">
        <is>
          <t>Simran Choudhury</t>
        </is>
      </c>
      <c r="D486" s="29" t="inlineStr">
        <is>
          <t>East</t>
        </is>
      </c>
      <c r="E486" s="30" t="inlineStr">
        <is>
          <t>Guwahati</t>
        </is>
      </c>
      <c r="F486" s="30" t="inlineStr">
        <is>
          <t>Lightweight Running Sports Shoes</t>
        </is>
      </c>
      <c r="G486" s="29" t="inlineStr">
        <is>
          <t>Fashion</t>
        </is>
      </c>
      <c r="H486" s="31" t="n">
        <v>1</v>
      </c>
      <c r="I486" s="16" t="n">
        <v>3199</v>
      </c>
      <c r="J486" s="32" t="n">
        <v>0.15</v>
      </c>
      <c r="K486" s="16">
        <f>H486*I486</f>
        <v/>
      </c>
      <c r="L486" s="16">
        <f>K486*J486</f>
        <v/>
      </c>
      <c r="M486" s="16">
        <f>K486-L486</f>
        <v/>
      </c>
      <c r="N486" s="16" t="n">
        <v>1500</v>
      </c>
      <c r="O486" s="16">
        <f>M486-N486</f>
        <v/>
      </c>
      <c r="P486" s="17">
        <f>IFERROR(O486/M486, 0)</f>
        <v/>
      </c>
      <c r="Q486" s="29" t="inlineStr">
        <is>
          <t>Delivered</t>
        </is>
      </c>
    </row>
    <row r="487">
      <c r="A487" s="33" t="n">
        <v>256</v>
      </c>
      <c r="B487" s="33" t="inlineStr">
        <is>
          <t>2025-06-05</t>
        </is>
      </c>
      <c r="C487" s="34" t="inlineStr">
        <is>
          <t>Amit Gupta</t>
        </is>
      </c>
      <c r="D487" s="33" t="inlineStr">
        <is>
          <t>Central</t>
        </is>
      </c>
      <c r="E487" s="34" t="inlineStr">
        <is>
          <t>Gwalior</t>
        </is>
      </c>
      <c r="F487" s="34" t="inlineStr">
        <is>
          <t>Automatic Air Fryer 4.5L</t>
        </is>
      </c>
      <c r="G487" s="33" t="inlineStr">
        <is>
          <t>Home &amp; Living</t>
        </is>
      </c>
      <c r="H487" s="35" t="n">
        <v>5</v>
      </c>
      <c r="I487" s="20" t="n">
        <v>5499</v>
      </c>
      <c r="J487" s="36" t="n">
        <v>0.1</v>
      </c>
      <c r="K487" s="20">
        <f>H487*I487</f>
        <v/>
      </c>
      <c r="L487" s="20">
        <f>K487*J487</f>
        <v/>
      </c>
      <c r="M487" s="20">
        <f>K487-L487</f>
        <v/>
      </c>
      <c r="N487" s="20" t="n">
        <v>18000</v>
      </c>
      <c r="O487" s="20">
        <f>M487-N487</f>
        <v/>
      </c>
      <c r="P487" s="21">
        <f>IFERROR(O487/M487, 0)</f>
        <v/>
      </c>
      <c r="Q487" s="33" t="inlineStr">
        <is>
          <t>Cancelled</t>
        </is>
      </c>
    </row>
    <row r="488">
      <c r="A488" s="29" t="n">
        <v>257</v>
      </c>
      <c r="B488" s="29" t="inlineStr">
        <is>
          <t>2025-05-25</t>
        </is>
      </c>
      <c r="C488" s="30" t="inlineStr">
        <is>
          <t>Nandini Patel</t>
        </is>
      </c>
      <c r="D488" s="29" t="inlineStr">
        <is>
          <t>West</t>
        </is>
      </c>
      <c r="E488" s="30" t="inlineStr">
        <is>
          <t>Nagpur</t>
        </is>
      </c>
      <c r="F488" s="30" t="inlineStr">
        <is>
          <t>Insulated Stainless Steel Sipper Bottle</t>
        </is>
      </c>
      <c r="G488" s="29" t="inlineStr">
        <is>
          <t>Sports</t>
        </is>
      </c>
      <c r="H488" s="31" t="n">
        <v>1</v>
      </c>
      <c r="I488" s="16" t="n">
        <v>799</v>
      </c>
      <c r="J488" s="32" t="n">
        <v>0.2</v>
      </c>
      <c r="K488" s="16">
        <f>H488*I488</f>
        <v/>
      </c>
      <c r="L488" s="16">
        <f>K488*J488</f>
        <v/>
      </c>
      <c r="M488" s="16">
        <f>K488-L488</f>
        <v/>
      </c>
      <c r="N488" s="16" t="n">
        <v>390</v>
      </c>
      <c r="O488" s="16">
        <f>M488-N488</f>
        <v/>
      </c>
      <c r="P488" s="17">
        <f>IFERROR(O488/M488, 0)</f>
        <v/>
      </c>
      <c r="Q488" s="29" t="inlineStr">
        <is>
          <t>Shipped</t>
        </is>
      </c>
    </row>
    <row r="489">
      <c r="A489" s="33" t="n">
        <v>257</v>
      </c>
      <c r="B489" s="33" t="inlineStr">
        <is>
          <t>2025-05-25</t>
        </is>
      </c>
      <c r="C489" s="34" t="inlineStr">
        <is>
          <t>Nandini Patel</t>
        </is>
      </c>
      <c r="D489" s="33" t="inlineStr">
        <is>
          <t>West</t>
        </is>
      </c>
      <c r="E489" s="34" t="inlineStr">
        <is>
          <t>Nagpur</t>
        </is>
      </c>
      <c r="F489" s="34" t="inlineStr">
        <is>
          <t>Double Bed Pure Cotton Bedsheet</t>
        </is>
      </c>
      <c r="G489" s="33" t="inlineStr">
        <is>
          <t>Home &amp; Living</t>
        </is>
      </c>
      <c r="H489" s="35" t="n">
        <v>4</v>
      </c>
      <c r="I489" s="20" t="n">
        <v>1599</v>
      </c>
      <c r="J489" s="36" t="n">
        <v>0.15</v>
      </c>
      <c r="K489" s="20">
        <f>H489*I489</f>
        <v/>
      </c>
      <c r="L489" s="20">
        <f>K489*J489</f>
        <v/>
      </c>
      <c r="M489" s="20">
        <f>K489-L489</f>
        <v/>
      </c>
      <c r="N489" s="20" t="n">
        <v>3120</v>
      </c>
      <c r="O489" s="20">
        <f>M489-N489</f>
        <v/>
      </c>
      <c r="P489" s="21">
        <f>IFERROR(O489/M489, 0)</f>
        <v/>
      </c>
      <c r="Q489" s="33" t="inlineStr">
        <is>
          <t>Shipped</t>
        </is>
      </c>
    </row>
    <row r="490">
      <c r="A490" s="29" t="n">
        <v>258</v>
      </c>
      <c r="B490" s="29" t="inlineStr">
        <is>
          <t>2025-09-01</t>
        </is>
      </c>
      <c r="C490" s="30" t="inlineStr">
        <is>
          <t>Harsh Singh</t>
        </is>
      </c>
      <c r="D490" s="29" t="inlineStr">
        <is>
          <t>West</t>
        </is>
      </c>
      <c r="E490" s="30" t="inlineStr">
        <is>
          <t>Ahmedabad</t>
        </is>
      </c>
      <c r="F490" s="30" t="inlineStr">
        <is>
          <t>Ergonomic Wireless Mouse</t>
        </is>
      </c>
      <c r="G490" s="29" t="inlineStr">
        <is>
          <t>Electronics</t>
        </is>
      </c>
      <c r="H490" s="31" t="n">
        <v>2</v>
      </c>
      <c r="I490" s="16" t="n">
        <v>1299</v>
      </c>
      <c r="J490" s="32" t="n">
        <v>0</v>
      </c>
      <c r="K490" s="16">
        <f>H490*I490</f>
        <v/>
      </c>
      <c r="L490" s="16">
        <f>K490*J490</f>
        <v/>
      </c>
      <c r="M490" s="16">
        <f>K490-L490</f>
        <v/>
      </c>
      <c r="N490" s="16" t="n">
        <v>1500</v>
      </c>
      <c r="O490" s="16">
        <f>M490-N490</f>
        <v/>
      </c>
      <c r="P490" s="17">
        <f>IFERROR(O490/M490, 0)</f>
        <v/>
      </c>
      <c r="Q490" s="29" t="inlineStr">
        <is>
          <t>Processing</t>
        </is>
      </c>
    </row>
    <row r="491">
      <c r="A491" s="33" t="n">
        <v>258</v>
      </c>
      <c r="B491" s="33" t="inlineStr">
        <is>
          <t>2025-09-01</t>
        </is>
      </c>
      <c r="C491" s="34" t="inlineStr">
        <is>
          <t>Harsh Singh</t>
        </is>
      </c>
      <c r="D491" s="33" t="inlineStr">
        <is>
          <t>West</t>
        </is>
      </c>
      <c r="E491" s="34" t="inlineStr">
        <is>
          <t>Ahmedabad</t>
        </is>
      </c>
      <c r="F491" s="34" t="inlineStr">
        <is>
          <t>Women Floral Embroidered Kurti</t>
        </is>
      </c>
      <c r="G491" s="33" t="inlineStr">
        <is>
          <t>Fashion</t>
        </is>
      </c>
      <c r="H491" s="35" t="n">
        <v>2</v>
      </c>
      <c r="I491" s="20" t="n">
        <v>1899</v>
      </c>
      <c r="J491" s="36" t="n">
        <v>0</v>
      </c>
      <c r="K491" s="20">
        <f>H491*I491</f>
        <v/>
      </c>
      <c r="L491" s="20">
        <f>K491*J491</f>
        <v/>
      </c>
      <c r="M491" s="20">
        <f>K491-L491</f>
        <v/>
      </c>
      <c r="N491" s="20" t="n">
        <v>1600</v>
      </c>
      <c r="O491" s="20">
        <f>M491-N491</f>
        <v/>
      </c>
      <c r="P491" s="21">
        <f>IFERROR(O491/M491, 0)</f>
        <v/>
      </c>
      <c r="Q491" s="33" t="inlineStr">
        <is>
          <t>Processing</t>
        </is>
      </c>
    </row>
    <row r="492">
      <c r="A492" s="29" t="n">
        <v>258</v>
      </c>
      <c r="B492" s="29" t="inlineStr">
        <is>
          <t>2025-09-01</t>
        </is>
      </c>
      <c r="C492" s="30" t="inlineStr">
        <is>
          <t>Harsh Singh</t>
        </is>
      </c>
      <c r="D492" s="29" t="inlineStr">
        <is>
          <t>West</t>
        </is>
      </c>
      <c r="E492" s="30" t="inlineStr">
        <is>
          <t>Ahmedabad</t>
        </is>
      </c>
      <c r="F492" s="30" t="inlineStr">
        <is>
          <t>Adjustable Dumbbell Set 20kg</t>
        </is>
      </c>
      <c r="G492" s="29" t="inlineStr">
        <is>
          <t>Sports</t>
        </is>
      </c>
      <c r="H492" s="31" t="n">
        <v>1</v>
      </c>
      <c r="I492" s="16" t="n">
        <v>4299</v>
      </c>
      <c r="J492" s="32" t="n">
        <v>0.15</v>
      </c>
      <c r="K492" s="16">
        <f>H492*I492</f>
        <v/>
      </c>
      <c r="L492" s="16">
        <f>K492*J492</f>
        <v/>
      </c>
      <c r="M492" s="16">
        <f>K492-L492</f>
        <v/>
      </c>
      <c r="N492" s="16" t="n">
        <v>2600</v>
      </c>
      <c r="O492" s="16">
        <f>M492-N492</f>
        <v/>
      </c>
      <c r="P492" s="17">
        <f>IFERROR(O492/M492, 0)</f>
        <v/>
      </c>
      <c r="Q492" s="29" t="inlineStr">
        <is>
          <t>Processing</t>
        </is>
      </c>
    </row>
    <row r="493">
      <c r="A493" s="33" t="n">
        <v>259</v>
      </c>
      <c r="B493" s="33" t="inlineStr">
        <is>
          <t>2025-09-28</t>
        </is>
      </c>
      <c r="C493" s="34" t="inlineStr">
        <is>
          <t>Rohit Iyer</t>
        </is>
      </c>
      <c r="D493" s="33" t="inlineStr">
        <is>
          <t>Central</t>
        </is>
      </c>
      <c r="E493" s="34" t="inlineStr">
        <is>
          <t>Jabalpur</t>
        </is>
      </c>
      <c r="F493" s="34" t="inlineStr">
        <is>
          <t>Genuine Leather Bifold Wallet</t>
        </is>
      </c>
      <c r="G493" s="33" t="inlineStr">
        <is>
          <t>Fashion</t>
        </is>
      </c>
      <c r="H493" s="35" t="n">
        <v>1</v>
      </c>
      <c r="I493" s="20" t="n">
        <v>899</v>
      </c>
      <c r="J493" s="36" t="n">
        <v>0</v>
      </c>
      <c r="K493" s="20">
        <f>H493*I493</f>
        <v/>
      </c>
      <c r="L493" s="20">
        <f>K493*J493</f>
        <v/>
      </c>
      <c r="M493" s="20">
        <f>K493-L493</f>
        <v/>
      </c>
      <c r="N493" s="20" t="n">
        <v>380</v>
      </c>
      <c r="O493" s="20">
        <f>M493-N493</f>
        <v/>
      </c>
      <c r="P493" s="21">
        <f>IFERROR(O493/M493, 0)</f>
        <v/>
      </c>
      <c r="Q493" s="33" t="inlineStr">
        <is>
          <t>Delivered</t>
        </is>
      </c>
    </row>
    <row r="494">
      <c r="A494" s="29" t="n">
        <v>259</v>
      </c>
      <c r="B494" s="29" t="inlineStr">
        <is>
          <t>2025-09-28</t>
        </is>
      </c>
      <c r="C494" s="30" t="inlineStr">
        <is>
          <t>Rohit Iyer</t>
        </is>
      </c>
      <c r="D494" s="29" t="inlineStr">
        <is>
          <t>Central</t>
        </is>
      </c>
      <c r="E494" s="30" t="inlineStr">
        <is>
          <t>Jabalpur</t>
        </is>
      </c>
      <c r="F494" s="30" t="inlineStr">
        <is>
          <t>Double Bed Pure Cotton Bedsheet</t>
        </is>
      </c>
      <c r="G494" s="29" t="inlineStr">
        <is>
          <t>Home &amp; Living</t>
        </is>
      </c>
      <c r="H494" s="31" t="n">
        <v>1</v>
      </c>
      <c r="I494" s="16" t="n">
        <v>1599</v>
      </c>
      <c r="J494" s="32" t="n">
        <v>0.12</v>
      </c>
      <c r="K494" s="16">
        <f>H494*I494</f>
        <v/>
      </c>
      <c r="L494" s="16">
        <f>K494*J494</f>
        <v/>
      </c>
      <c r="M494" s="16">
        <f>K494-L494</f>
        <v/>
      </c>
      <c r="N494" s="16" t="n">
        <v>780</v>
      </c>
      <c r="O494" s="16">
        <f>M494-N494</f>
        <v/>
      </c>
      <c r="P494" s="17">
        <f>IFERROR(O494/M494, 0)</f>
        <v/>
      </c>
      <c r="Q494" s="29" t="inlineStr">
        <is>
          <t>Delivered</t>
        </is>
      </c>
    </row>
    <row r="495">
      <c r="A495" s="33" t="n">
        <v>259</v>
      </c>
      <c r="B495" s="33" t="inlineStr">
        <is>
          <t>2025-09-28</t>
        </is>
      </c>
      <c r="C495" s="34" t="inlineStr">
        <is>
          <t>Rohit Iyer</t>
        </is>
      </c>
      <c r="D495" s="33" t="inlineStr">
        <is>
          <t>Central</t>
        </is>
      </c>
      <c r="E495" s="34" t="inlineStr">
        <is>
          <t>Jabalpur</t>
        </is>
      </c>
      <c r="F495" s="34" t="inlineStr">
        <is>
          <t>Ergonomic Wireless Mouse</t>
        </is>
      </c>
      <c r="G495" s="33" t="inlineStr">
        <is>
          <t>Electronics</t>
        </is>
      </c>
      <c r="H495" s="35" t="n">
        <v>1</v>
      </c>
      <c r="I495" s="20" t="n">
        <v>1299</v>
      </c>
      <c r="J495" s="36" t="n">
        <v>0.15</v>
      </c>
      <c r="K495" s="20">
        <f>H495*I495</f>
        <v/>
      </c>
      <c r="L495" s="20">
        <f>K495*J495</f>
        <v/>
      </c>
      <c r="M495" s="20">
        <f>K495-L495</f>
        <v/>
      </c>
      <c r="N495" s="20" t="n">
        <v>750</v>
      </c>
      <c r="O495" s="20">
        <f>M495-N495</f>
        <v/>
      </c>
      <c r="P495" s="21">
        <f>IFERROR(O495/M495, 0)</f>
        <v/>
      </c>
      <c r="Q495" s="33" t="inlineStr">
        <is>
          <t>Delivered</t>
        </is>
      </c>
    </row>
    <row r="496">
      <c r="A496" s="29" t="n">
        <v>259</v>
      </c>
      <c r="B496" s="29" t="inlineStr">
        <is>
          <t>2025-09-28</t>
        </is>
      </c>
      <c r="C496" s="30" t="inlineStr">
        <is>
          <t>Rohit Iyer</t>
        </is>
      </c>
      <c r="D496" s="29" t="inlineStr">
        <is>
          <t>Central</t>
        </is>
      </c>
      <c r="E496" s="30" t="inlineStr">
        <is>
          <t>Jabalpur</t>
        </is>
      </c>
      <c r="F496" s="30" t="inlineStr">
        <is>
          <t>Ultra HD Smart LED TV 55-inch</t>
        </is>
      </c>
      <c r="G496" s="29" t="inlineStr">
        <is>
          <t>Electronics</t>
        </is>
      </c>
      <c r="H496" s="31" t="n">
        <v>1</v>
      </c>
      <c r="I496" s="16" t="n">
        <v>42999</v>
      </c>
      <c r="J496" s="32" t="n">
        <v>0.1</v>
      </c>
      <c r="K496" s="16">
        <f>H496*I496</f>
        <v/>
      </c>
      <c r="L496" s="16">
        <f>K496*J496</f>
        <v/>
      </c>
      <c r="M496" s="16">
        <f>K496-L496</f>
        <v/>
      </c>
      <c r="N496" s="16" t="n">
        <v>31000</v>
      </c>
      <c r="O496" s="16">
        <f>M496-N496</f>
        <v/>
      </c>
      <c r="P496" s="17">
        <f>IFERROR(O496/M496, 0)</f>
        <v/>
      </c>
      <c r="Q496" s="29" t="inlineStr">
        <is>
          <t>Delivered</t>
        </is>
      </c>
    </row>
    <row r="497">
      <c r="A497" s="33" t="n">
        <v>260</v>
      </c>
      <c r="B497" s="33" t="inlineStr">
        <is>
          <t>2025-05-20</t>
        </is>
      </c>
      <c r="C497" s="34" t="inlineStr">
        <is>
          <t>Meera Bhat</t>
        </is>
      </c>
      <c r="D497" s="33" t="inlineStr">
        <is>
          <t>South</t>
        </is>
      </c>
      <c r="E497" s="34" t="inlineStr">
        <is>
          <t>Bengaluru</t>
        </is>
      </c>
      <c r="F497" s="34" t="inlineStr">
        <is>
          <t>Premium California Almonds 500g</t>
        </is>
      </c>
      <c r="G497" s="33" t="inlineStr">
        <is>
          <t>Groceries</t>
        </is>
      </c>
      <c r="H497" s="35" t="n">
        <v>1</v>
      </c>
      <c r="I497" s="20" t="n">
        <v>599</v>
      </c>
      <c r="J497" s="36" t="n">
        <v>0.05</v>
      </c>
      <c r="K497" s="20">
        <f>H497*I497</f>
        <v/>
      </c>
      <c r="L497" s="20">
        <f>K497*J497</f>
        <v/>
      </c>
      <c r="M497" s="20">
        <f>K497-L497</f>
        <v/>
      </c>
      <c r="N497" s="20" t="n">
        <v>380</v>
      </c>
      <c r="O497" s="20">
        <f>M497-N497</f>
        <v/>
      </c>
      <c r="P497" s="21">
        <f>IFERROR(O497/M497, 0)</f>
        <v/>
      </c>
      <c r="Q497" s="33" t="inlineStr">
        <is>
          <t>Delivered</t>
        </is>
      </c>
    </row>
    <row r="498">
      <c r="A498" s="29" t="n">
        <v>260</v>
      </c>
      <c r="B498" s="29" t="inlineStr">
        <is>
          <t>2025-05-20</t>
        </is>
      </c>
      <c r="C498" s="30" t="inlineStr">
        <is>
          <t>Meera Bhat</t>
        </is>
      </c>
      <c r="D498" s="29" t="inlineStr">
        <is>
          <t>South</t>
        </is>
      </c>
      <c r="E498" s="30" t="inlineStr">
        <is>
          <t>Bengaluru</t>
        </is>
      </c>
      <c r="F498" s="30" t="inlineStr">
        <is>
          <t>Insulated Stainless Steel Sipper Bottle</t>
        </is>
      </c>
      <c r="G498" s="29" t="inlineStr">
        <is>
          <t>Sports</t>
        </is>
      </c>
      <c r="H498" s="31" t="n">
        <v>5</v>
      </c>
      <c r="I498" s="16" t="n">
        <v>799</v>
      </c>
      <c r="J498" s="32" t="n">
        <v>0.1</v>
      </c>
      <c r="K498" s="16">
        <f>H498*I498</f>
        <v/>
      </c>
      <c r="L498" s="16">
        <f>K498*J498</f>
        <v/>
      </c>
      <c r="M498" s="16">
        <f>K498-L498</f>
        <v/>
      </c>
      <c r="N498" s="16" t="n">
        <v>1950</v>
      </c>
      <c r="O498" s="16">
        <f>M498-N498</f>
        <v/>
      </c>
      <c r="P498" s="17">
        <f>IFERROR(O498/M498, 0)</f>
        <v/>
      </c>
      <c r="Q498" s="29" t="inlineStr">
        <is>
          <t>Delivered</t>
        </is>
      </c>
    </row>
    <row r="499">
      <c r="A499" s="33" t="n">
        <v>261</v>
      </c>
      <c r="B499" s="33" t="inlineStr">
        <is>
          <t>2025-04-01</t>
        </is>
      </c>
      <c r="C499" s="34" t="inlineStr">
        <is>
          <t>Sunil Nair</t>
        </is>
      </c>
      <c r="D499" s="33" t="inlineStr">
        <is>
          <t>West</t>
        </is>
      </c>
      <c r="E499" s="34" t="inlineStr">
        <is>
          <t>Mumbai</t>
        </is>
      </c>
      <c r="F499" s="34" t="inlineStr">
        <is>
          <t>Mechanical Gaming Keyboard</t>
        </is>
      </c>
      <c r="G499" s="33" t="inlineStr">
        <is>
          <t>Electronics</t>
        </is>
      </c>
      <c r="H499" s="35" t="n">
        <v>1</v>
      </c>
      <c r="I499" s="20" t="n">
        <v>3299</v>
      </c>
      <c r="J499" s="36" t="n">
        <v>0.05</v>
      </c>
      <c r="K499" s="20">
        <f>H499*I499</f>
        <v/>
      </c>
      <c r="L499" s="20">
        <f>K499*J499</f>
        <v/>
      </c>
      <c r="M499" s="20">
        <f>K499-L499</f>
        <v/>
      </c>
      <c r="N499" s="20" t="n">
        <v>2100</v>
      </c>
      <c r="O499" s="20">
        <f>M499-N499</f>
        <v/>
      </c>
      <c r="P499" s="21">
        <f>IFERROR(O499/M499, 0)</f>
        <v/>
      </c>
      <c r="Q499" s="33" t="inlineStr">
        <is>
          <t>Delivered</t>
        </is>
      </c>
    </row>
    <row r="500">
      <c r="A500" s="29" t="n">
        <v>261</v>
      </c>
      <c r="B500" s="29" t="inlineStr">
        <is>
          <t>2025-04-01</t>
        </is>
      </c>
      <c r="C500" s="30" t="inlineStr">
        <is>
          <t>Sunil Nair</t>
        </is>
      </c>
      <c r="D500" s="29" t="inlineStr">
        <is>
          <t>West</t>
        </is>
      </c>
      <c r="E500" s="30" t="inlineStr">
        <is>
          <t>Mumbai</t>
        </is>
      </c>
      <c r="F500" s="30" t="inlineStr">
        <is>
          <t>Ergonomic Wireless Mouse</t>
        </is>
      </c>
      <c r="G500" s="29" t="inlineStr">
        <is>
          <t>Electronics</t>
        </is>
      </c>
      <c r="H500" s="31" t="n">
        <v>1</v>
      </c>
      <c r="I500" s="16" t="n">
        <v>1299</v>
      </c>
      <c r="J500" s="32" t="n">
        <v>0.2</v>
      </c>
      <c r="K500" s="16">
        <f>H500*I500</f>
        <v/>
      </c>
      <c r="L500" s="16">
        <f>K500*J500</f>
        <v/>
      </c>
      <c r="M500" s="16">
        <f>K500-L500</f>
        <v/>
      </c>
      <c r="N500" s="16" t="n">
        <v>750</v>
      </c>
      <c r="O500" s="16">
        <f>M500-N500</f>
        <v/>
      </c>
      <c r="P500" s="17">
        <f>IFERROR(O500/M500, 0)</f>
        <v/>
      </c>
      <c r="Q500" s="29" t="inlineStr">
        <is>
          <t>Delivered</t>
        </is>
      </c>
    </row>
    <row r="501">
      <c r="A501" s="33" t="n">
        <v>261</v>
      </c>
      <c r="B501" s="33" t="inlineStr">
        <is>
          <t>2025-04-01</t>
        </is>
      </c>
      <c r="C501" s="34" t="inlineStr">
        <is>
          <t>Sunil Nair</t>
        </is>
      </c>
      <c r="D501" s="33" t="inlineStr">
        <is>
          <t>West</t>
        </is>
      </c>
      <c r="E501" s="34" t="inlineStr">
        <is>
          <t>Mumbai</t>
        </is>
      </c>
      <c r="F501" s="34" t="inlineStr">
        <is>
          <t>Skipping Rope with Digital Counter</t>
        </is>
      </c>
      <c r="G501" s="33" t="inlineStr">
        <is>
          <t>Sports</t>
        </is>
      </c>
      <c r="H501" s="35" t="n">
        <v>1</v>
      </c>
      <c r="I501" s="20" t="n">
        <v>499</v>
      </c>
      <c r="J501" s="36" t="n">
        <v>0.1</v>
      </c>
      <c r="K501" s="20">
        <f>H501*I501</f>
        <v/>
      </c>
      <c r="L501" s="20">
        <f>K501*J501</f>
        <v/>
      </c>
      <c r="M501" s="20">
        <f>K501-L501</f>
        <v/>
      </c>
      <c r="N501" s="20" t="n">
        <v>210</v>
      </c>
      <c r="O501" s="20">
        <f>M501-N501</f>
        <v/>
      </c>
      <c r="P501" s="21">
        <f>IFERROR(O501/M501, 0)</f>
        <v/>
      </c>
      <c r="Q501" s="33" t="inlineStr">
        <is>
          <t>Delivered</t>
        </is>
      </c>
    </row>
    <row r="502">
      <c r="A502" s="29" t="n">
        <v>262</v>
      </c>
      <c r="B502" s="29" t="inlineStr">
        <is>
          <t>2025-07-02</t>
        </is>
      </c>
      <c r="C502" s="30" t="inlineStr">
        <is>
          <t>Simran Patel</t>
        </is>
      </c>
      <c r="D502" s="29" t="inlineStr">
        <is>
          <t>North</t>
        </is>
      </c>
      <c r="E502" s="30" t="inlineStr">
        <is>
          <t>Delhi</t>
        </is>
      </c>
      <c r="F502" s="30" t="inlineStr">
        <is>
          <t>Insulated Stainless Steel Sipper Bottle</t>
        </is>
      </c>
      <c r="G502" s="29" t="inlineStr">
        <is>
          <t>Sports</t>
        </is>
      </c>
      <c r="H502" s="31" t="n">
        <v>1</v>
      </c>
      <c r="I502" s="16" t="n">
        <v>799</v>
      </c>
      <c r="J502" s="32" t="n">
        <v>0</v>
      </c>
      <c r="K502" s="16">
        <f>H502*I502</f>
        <v/>
      </c>
      <c r="L502" s="16">
        <f>K502*J502</f>
        <v/>
      </c>
      <c r="M502" s="16">
        <f>K502-L502</f>
        <v/>
      </c>
      <c r="N502" s="16" t="n">
        <v>390</v>
      </c>
      <c r="O502" s="16">
        <f>M502-N502</f>
        <v/>
      </c>
      <c r="P502" s="17">
        <f>IFERROR(O502/M502, 0)</f>
        <v/>
      </c>
      <c r="Q502" s="29" t="inlineStr">
        <is>
          <t>Delivered</t>
        </is>
      </c>
    </row>
    <row r="503">
      <c r="A503" s="33" t="n">
        <v>263</v>
      </c>
      <c r="B503" s="33" t="inlineStr">
        <is>
          <t>2024-11-23</t>
        </is>
      </c>
      <c r="C503" s="34" t="inlineStr">
        <is>
          <t>Kiran Gupta</t>
        </is>
      </c>
      <c r="D503" s="33" t="inlineStr">
        <is>
          <t>North</t>
        </is>
      </c>
      <c r="E503" s="34" t="inlineStr">
        <is>
          <t>Delhi</t>
        </is>
      </c>
      <c r="F503" s="34" t="inlineStr">
        <is>
          <t>Ultra HD Smart LED TV 55-inch</t>
        </is>
      </c>
      <c r="G503" s="33" t="inlineStr">
        <is>
          <t>Electronics</t>
        </is>
      </c>
      <c r="H503" s="35" t="n">
        <v>2</v>
      </c>
      <c r="I503" s="20" t="n">
        <v>42999</v>
      </c>
      <c r="J503" s="36" t="n">
        <v>0.15</v>
      </c>
      <c r="K503" s="20">
        <f>H503*I503</f>
        <v/>
      </c>
      <c r="L503" s="20">
        <f>K503*J503</f>
        <v/>
      </c>
      <c r="M503" s="20">
        <f>K503-L503</f>
        <v/>
      </c>
      <c r="N503" s="20" t="n">
        <v>62000</v>
      </c>
      <c r="O503" s="20">
        <f>M503-N503</f>
        <v/>
      </c>
      <c r="P503" s="21">
        <f>IFERROR(O503/M503, 0)</f>
        <v/>
      </c>
      <c r="Q503" s="33" t="inlineStr">
        <is>
          <t>Cancelled</t>
        </is>
      </c>
    </row>
    <row r="504">
      <c r="A504" s="29" t="n">
        <v>263</v>
      </c>
      <c r="B504" s="29" t="inlineStr">
        <is>
          <t>2024-11-23</t>
        </is>
      </c>
      <c r="C504" s="30" t="inlineStr">
        <is>
          <t>Kiran Gupta</t>
        </is>
      </c>
      <c r="D504" s="29" t="inlineStr">
        <is>
          <t>North</t>
        </is>
      </c>
      <c r="E504" s="30" t="inlineStr">
        <is>
          <t>Delhi</t>
        </is>
      </c>
      <c r="F504" s="30" t="inlineStr">
        <is>
          <t>Genuine Leather Bifold Wallet</t>
        </is>
      </c>
      <c r="G504" s="29" t="inlineStr">
        <is>
          <t>Fashion</t>
        </is>
      </c>
      <c r="H504" s="31" t="n">
        <v>2</v>
      </c>
      <c r="I504" s="16" t="n">
        <v>899</v>
      </c>
      <c r="J504" s="32" t="n">
        <v>0.15</v>
      </c>
      <c r="K504" s="16">
        <f>H504*I504</f>
        <v/>
      </c>
      <c r="L504" s="16">
        <f>K504*J504</f>
        <v/>
      </c>
      <c r="M504" s="16">
        <f>K504-L504</f>
        <v/>
      </c>
      <c r="N504" s="16" t="n">
        <v>760</v>
      </c>
      <c r="O504" s="16">
        <f>M504-N504</f>
        <v/>
      </c>
      <c r="P504" s="17">
        <f>IFERROR(O504/M504, 0)</f>
        <v/>
      </c>
      <c r="Q504" s="29" t="inlineStr">
        <is>
          <t>Cancelled</t>
        </is>
      </c>
    </row>
    <row r="505">
      <c r="A505" s="33" t="n">
        <v>264</v>
      </c>
      <c r="B505" s="33" t="inlineStr">
        <is>
          <t>2025-07-23</t>
        </is>
      </c>
      <c r="C505" s="34" t="inlineStr">
        <is>
          <t>Shreya Patel</t>
        </is>
      </c>
      <c r="D505" s="33" t="inlineStr">
        <is>
          <t>South</t>
        </is>
      </c>
      <c r="E505" s="34" t="inlineStr">
        <is>
          <t>Coimbatore</t>
        </is>
      </c>
      <c r="F505" s="34" t="inlineStr">
        <is>
          <t>Genuine Leather Bifold Wallet</t>
        </is>
      </c>
      <c r="G505" s="33" t="inlineStr">
        <is>
          <t>Fashion</t>
        </is>
      </c>
      <c r="H505" s="35" t="n">
        <v>1</v>
      </c>
      <c r="I505" s="20" t="n">
        <v>899</v>
      </c>
      <c r="J505" s="36" t="n">
        <v>0.1</v>
      </c>
      <c r="K505" s="20">
        <f>H505*I505</f>
        <v/>
      </c>
      <c r="L505" s="20">
        <f>K505*J505</f>
        <v/>
      </c>
      <c r="M505" s="20">
        <f>K505-L505</f>
        <v/>
      </c>
      <c r="N505" s="20" t="n">
        <v>380</v>
      </c>
      <c r="O505" s="20">
        <f>M505-N505</f>
        <v/>
      </c>
      <c r="P505" s="21">
        <f>IFERROR(O505/M505, 0)</f>
        <v/>
      </c>
      <c r="Q505" s="33" t="inlineStr">
        <is>
          <t>Delivered</t>
        </is>
      </c>
    </row>
    <row r="506">
      <c r="A506" s="29" t="n">
        <v>264</v>
      </c>
      <c r="B506" s="29" t="inlineStr">
        <is>
          <t>2025-07-23</t>
        </is>
      </c>
      <c r="C506" s="30" t="inlineStr">
        <is>
          <t>Shreya Patel</t>
        </is>
      </c>
      <c r="D506" s="29" t="inlineStr">
        <is>
          <t>South</t>
        </is>
      </c>
      <c r="E506" s="30" t="inlineStr">
        <is>
          <t>Coimbatore</t>
        </is>
      </c>
      <c r="F506" s="30" t="inlineStr">
        <is>
          <t>Cold-Pressed Extra Virgin Olive Oil 1L</t>
        </is>
      </c>
      <c r="G506" s="29" t="inlineStr">
        <is>
          <t>Groceries</t>
        </is>
      </c>
      <c r="H506" s="31" t="n">
        <v>1</v>
      </c>
      <c r="I506" s="16" t="n">
        <v>1199</v>
      </c>
      <c r="J506" s="32" t="n">
        <v>0.1</v>
      </c>
      <c r="K506" s="16">
        <f>H506*I506</f>
        <v/>
      </c>
      <c r="L506" s="16">
        <f>K506*J506</f>
        <v/>
      </c>
      <c r="M506" s="16">
        <f>K506-L506</f>
        <v/>
      </c>
      <c r="N506" s="16" t="n">
        <v>780</v>
      </c>
      <c r="O506" s="16">
        <f>M506-N506</f>
        <v/>
      </c>
      <c r="P506" s="17">
        <f>IFERROR(O506/M506, 0)</f>
        <v/>
      </c>
      <c r="Q506" s="29" t="inlineStr">
        <is>
          <t>Delivered</t>
        </is>
      </c>
    </row>
    <row r="507">
      <c r="A507" s="33" t="n">
        <v>265</v>
      </c>
      <c r="B507" s="33" t="inlineStr">
        <is>
          <t>2025-02-03</t>
        </is>
      </c>
      <c r="C507" s="34" t="inlineStr">
        <is>
          <t>Suresh Iyer</t>
        </is>
      </c>
      <c r="D507" s="33" t="inlineStr">
        <is>
          <t>East</t>
        </is>
      </c>
      <c r="E507" s="34" t="inlineStr">
        <is>
          <t>Kolkata</t>
        </is>
      </c>
      <c r="F507" s="34" t="inlineStr">
        <is>
          <t>Double Bed Pure Cotton Bedsheet</t>
        </is>
      </c>
      <c r="G507" s="33" t="inlineStr">
        <is>
          <t>Home &amp; Living</t>
        </is>
      </c>
      <c r="H507" s="35" t="n">
        <v>1</v>
      </c>
      <c r="I507" s="20" t="n">
        <v>1599</v>
      </c>
      <c r="J507" s="36" t="n">
        <v>0.12</v>
      </c>
      <c r="K507" s="20">
        <f>H507*I507</f>
        <v/>
      </c>
      <c r="L507" s="20">
        <f>K507*J507</f>
        <v/>
      </c>
      <c r="M507" s="20">
        <f>K507-L507</f>
        <v/>
      </c>
      <c r="N507" s="20" t="n">
        <v>780</v>
      </c>
      <c r="O507" s="20">
        <f>M507-N507</f>
        <v/>
      </c>
      <c r="P507" s="21">
        <f>IFERROR(O507/M507, 0)</f>
        <v/>
      </c>
      <c r="Q507" s="33" t="inlineStr">
        <is>
          <t>Delivered</t>
        </is>
      </c>
    </row>
    <row r="508">
      <c r="A508" s="29" t="n">
        <v>265</v>
      </c>
      <c r="B508" s="29" t="inlineStr">
        <is>
          <t>2025-02-03</t>
        </is>
      </c>
      <c r="C508" s="30" t="inlineStr">
        <is>
          <t>Suresh Iyer</t>
        </is>
      </c>
      <c r="D508" s="29" t="inlineStr">
        <is>
          <t>East</t>
        </is>
      </c>
      <c r="E508" s="30" t="inlineStr">
        <is>
          <t>Kolkata</t>
        </is>
      </c>
      <c r="F508" s="30" t="inlineStr">
        <is>
          <t>Stainless Steel Electric Kettle 1.8L</t>
        </is>
      </c>
      <c r="G508" s="29" t="inlineStr">
        <is>
          <t>Home &amp; Living</t>
        </is>
      </c>
      <c r="H508" s="31" t="n">
        <v>3</v>
      </c>
      <c r="I508" s="16" t="n">
        <v>1299</v>
      </c>
      <c r="J508" s="32" t="n">
        <v>0.1</v>
      </c>
      <c r="K508" s="16">
        <f>H508*I508</f>
        <v/>
      </c>
      <c r="L508" s="16">
        <f>K508*J508</f>
        <v/>
      </c>
      <c r="M508" s="16">
        <f>K508-L508</f>
        <v/>
      </c>
      <c r="N508" s="16" t="n">
        <v>2160</v>
      </c>
      <c r="O508" s="16">
        <f>M508-N508</f>
        <v/>
      </c>
      <c r="P508" s="17">
        <f>IFERROR(O508/M508, 0)</f>
        <v/>
      </c>
      <c r="Q508" s="29" t="inlineStr">
        <is>
          <t>Delivered</t>
        </is>
      </c>
    </row>
    <row r="509">
      <c r="A509" s="33" t="n">
        <v>266</v>
      </c>
      <c r="B509" s="33" t="inlineStr">
        <is>
          <t>2025-06-08</t>
        </is>
      </c>
      <c r="C509" s="34" t="inlineStr">
        <is>
          <t>Anjali Singh</t>
        </is>
      </c>
      <c r="D509" s="33" t="inlineStr">
        <is>
          <t>North</t>
        </is>
      </c>
      <c r="E509" s="34" t="inlineStr">
        <is>
          <t>Gurgaon</t>
        </is>
      </c>
      <c r="F509" s="34" t="inlineStr">
        <is>
          <t>Men Slim-Fit Cotton Casual Shirt</t>
        </is>
      </c>
      <c r="G509" s="33" t="inlineStr">
        <is>
          <t>Fashion</t>
        </is>
      </c>
      <c r="H509" s="35" t="n">
        <v>1</v>
      </c>
      <c r="I509" s="20" t="n">
        <v>1499</v>
      </c>
      <c r="J509" s="36" t="n">
        <v>0.2</v>
      </c>
      <c r="K509" s="20">
        <f>H509*I509</f>
        <v/>
      </c>
      <c r="L509" s="20">
        <f>K509*J509</f>
        <v/>
      </c>
      <c r="M509" s="20">
        <f>K509-L509</f>
        <v/>
      </c>
      <c r="N509" s="20" t="n">
        <v>650</v>
      </c>
      <c r="O509" s="20">
        <f>M509-N509</f>
        <v/>
      </c>
      <c r="P509" s="21">
        <f>IFERROR(O509/M509, 0)</f>
        <v/>
      </c>
      <c r="Q509" s="33" t="inlineStr">
        <is>
          <t>Delivered</t>
        </is>
      </c>
    </row>
    <row r="510">
      <c r="A510" s="29" t="n">
        <v>267</v>
      </c>
      <c r="B510" s="29" t="inlineStr">
        <is>
          <t>2024-12-03</t>
        </is>
      </c>
      <c r="C510" s="30" t="inlineStr">
        <is>
          <t>Tanvi Joshi</t>
        </is>
      </c>
      <c r="D510" s="29" t="inlineStr">
        <is>
          <t>North</t>
        </is>
      </c>
      <c r="E510" s="30" t="inlineStr">
        <is>
          <t>Lucknow</t>
        </is>
      </c>
      <c r="F510" s="30" t="inlineStr">
        <is>
          <t>Cold-Pressed Extra Virgin Olive Oil 1L</t>
        </is>
      </c>
      <c r="G510" s="29" t="inlineStr">
        <is>
          <t>Groceries</t>
        </is>
      </c>
      <c r="H510" s="31" t="n">
        <v>1</v>
      </c>
      <c r="I510" s="16" t="n">
        <v>1199</v>
      </c>
      <c r="J510" s="32" t="n">
        <v>0.05</v>
      </c>
      <c r="K510" s="16">
        <f>H510*I510</f>
        <v/>
      </c>
      <c r="L510" s="16">
        <f>K510*J510</f>
        <v/>
      </c>
      <c r="M510" s="16">
        <f>K510-L510</f>
        <v/>
      </c>
      <c r="N510" s="16" t="n">
        <v>780</v>
      </c>
      <c r="O510" s="16">
        <f>M510-N510</f>
        <v/>
      </c>
      <c r="P510" s="17">
        <f>IFERROR(O510/M510, 0)</f>
        <v/>
      </c>
      <c r="Q510" s="29" t="inlineStr">
        <is>
          <t>Shipped</t>
        </is>
      </c>
    </row>
    <row r="511">
      <c r="A511" s="33" t="n">
        <v>268</v>
      </c>
      <c r="B511" s="33" t="inlineStr">
        <is>
          <t>2025-06-23</t>
        </is>
      </c>
      <c r="C511" s="34" t="inlineStr">
        <is>
          <t>Nandini Deshmukh</t>
        </is>
      </c>
      <c r="D511" s="33" t="inlineStr">
        <is>
          <t>West</t>
        </is>
      </c>
      <c r="E511" s="34" t="inlineStr">
        <is>
          <t>Mumbai</t>
        </is>
      </c>
      <c r="F511" s="34" t="inlineStr">
        <is>
          <t>Multipurpose Desk Organizer Set</t>
        </is>
      </c>
      <c r="G511" s="33" t="inlineStr">
        <is>
          <t>Home &amp; Living</t>
        </is>
      </c>
      <c r="H511" s="35" t="n">
        <v>1</v>
      </c>
      <c r="I511" s="20" t="n">
        <v>699</v>
      </c>
      <c r="J511" s="36" t="n">
        <v>0.15</v>
      </c>
      <c r="K511" s="20">
        <f>H511*I511</f>
        <v/>
      </c>
      <c r="L511" s="20">
        <f>K511*J511</f>
        <v/>
      </c>
      <c r="M511" s="20">
        <f>K511-L511</f>
        <v/>
      </c>
      <c r="N511" s="20" t="n">
        <v>290</v>
      </c>
      <c r="O511" s="20">
        <f>M511-N511</f>
        <v/>
      </c>
      <c r="P511" s="21">
        <f>IFERROR(O511/M511, 0)</f>
        <v/>
      </c>
      <c r="Q511" s="33" t="inlineStr">
        <is>
          <t>Delivered</t>
        </is>
      </c>
    </row>
    <row r="512">
      <c r="A512" s="29" t="n">
        <v>269</v>
      </c>
      <c r="B512" s="29" t="inlineStr">
        <is>
          <t>2025-09-02</t>
        </is>
      </c>
      <c r="C512" s="30" t="inlineStr">
        <is>
          <t>Rhea Gupta</t>
        </is>
      </c>
      <c r="D512" s="29" t="inlineStr">
        <is>
          <t>West</t>
        </is>
      </c>
      <c r="E512" s="30" t="inlineStr">
        <is>
          <t>Surat</t>
        </is>
      </c>
      <c r="F512" s="30" t="inlineStr">
        <is>
          <t>Premium California Almonds 500g</t>
        </is>
      </c>
      <c r="G512" s="29" t="inlineStr">
        <is>
          <t>Groceries</t>
        </is>
      </c>
      <c r="H512" s="31" t="n">
        <v>1</v>
      </c>
      <c r="I512" s="16" t="n">
        <v>599</v>
      </c>
      <c r="J512" s="32" t="n">
        <v>0.2</v>
      </c>
      <c r="K512" s="16">
        <f>H512*I512</f>
        <v/>
      </c>
      <c r="L512" s="16">
        <f>K512*J512</f>
        <v/>
      </c>
      <c r="M512" s="16">
        <f>K512-L512</f>
        <v/>
      </c>
      <c r="N512" s="16" t="n">
        <v>380</v>
      </c>
      <c r="O512" s="16">
        <f>M512-N512</f>
        <v/>
      </c>
      <c r="P512" s="17">
        <f>IFERROR(O512/M512, 0)</f>
        <v/>
      </c>
      <c r="Q512" s="29" t="inlineStr">
        <is>
          <t>Delivered</t>
        </is>
      </c>
    </row>
    <row r="513">
      <c r="A513" s="33" t="n">
        <v>269</v>
      </c>
      <c r="B513" s="33" t="inlineStr">
        <is>
          <t>2025-09-02</t>
        </is>
      </c>
      <c r="C513" s="34" t="inlineStr">
        <is>
          <t>Rhea Gupta</t>
        </is>
      </c>
      <c r="D513" s="33" t="inlineStr">
        <is>
          <t>West</t>
        </is>
      </c>
      <c r="E513" s="34" t="inlineStr">
        <is>
          <t>Surat</t>
        </is>
      </c>
      <c r="F513" s="34" t="inlineStr">
        <is>
          <t>Ergonomic Wireless Mouse</t>
        </is>
      </c>
      <c r="G513" s="33" t="inlineStr">
        <is>
          <t>Electronics</t>
        </is>
      </c>
      <c r="H513" s="35" t="n">
        <v>1</v>
      </c>
      <c r="I513" s="20" t="n">
        <v>1299</v>
      </c>
      <c r="J513" s="36" t="n">
        <v>0</v>
      </c>
      <c r="K513" s="20">
        <f>H513*I513</f>
        <v/>
      </c>
      <c r="L513" s="20">
        <f>K513*J513</f>
        <v/>
      </c>
      <c r="M513" s="20">
        <f>K513-L513</f>
        <v/>
      </c>
      <c r="N513" s="20" t="n">
        <v>750</v>
      </c>
      <c r="O513" s="20">
        <f>M513-N513</f>
        <v/>
      </c>
      <c r="P513" s="21">
        <f>IFERROR(O513/M513, 0)</f>
        <v/>
      </c>
      <c r="Q513" s="33" t="inlineStr">
        <is>
          <t>Delivered</t>
        </is>
      </c>
    </row>
    <row r="514">
      <c r="A514" s="29" t="n">
        <v>270</v>
      </c>
      <c r="B514" s="29" t="inlineStr">
        <is>
          <t>2025-04-02</t>
        </is>
      </c>
      <c r="C514" s="30" t="inlineStr">
        <is>
          <t>Rohit Iyer</t>
        </is>
      </c>
      <c r="D514" s="29" t="inlineStr">
        <is>
          <t>Central</t>
        </is>
      </c>
      <c r="E514" s="30" t="inlineStr">
        <is>
          <t>Jabalpur</t>
        </is>
      </c>
      <c r="F514" s="30" t="inlineStr">
        <is>
          <t>Adjustable Dumbbell Set 20kg</t>
        </is>
      </c>
      <c r="G514" s="29" t="inlineStr">
        <is>
          <t>Sports</t>
        </is>
      </c>
      <c r="H514" s="31" t="n">
        <v>1</v>
      </c>
      <c r="I514" s="16" t="n">
        <v>4299</v>
      </c>
      <c r="J514" s="32" t="n">
        <v>0</v>
      </c>
      <c r="K514" s="16">
        <f>H514*I514</f>
        <v/>
      </c>
      <c r="L514" s="16">
        <f>K514*J514</f>
        <v/>
      </c>
      <c r="M514" s="16">
        <f>K514-L514</f>
        <v/>
      </c>
      <c r="N514" s="16" t="n">
        <v>2600</v>
      </c>
      <c r="O514" s="16">
        <f>M514-N514</f>
        <v/>
      </c>
      <c r="P514" s="17">
        <f>IFERROR(O514/M514, 0)</f>
        <v/>
      </c>
      <c r="Q514" s="29" t="inlineStr">
        <is>
          <t>Shipped</t>
        </is>
      </c>
    </row>
    <row r="515">
      <c r="A515" s="33" t="n">
        <v>270</v>
      </c>
      <c r="B515" s="33" t="inlineStr">
        <is>
          <t>2025-04-02</t>
        </is>
      </c>
      <c r="C515" s="34" t="inlineStr">
        <is>
          <t>Rohit Iyer</t>
        </is>
      </c>
      <c r="D515" s="33" t="inlineStr">
        <is>
          <t>Central</t>
        </is>
      </c>
      <c r="E515" s="34" t="inlineStr">
        <is>
          <t>Jabalpur</t>
        </is>
      </c>
      <c r="F515" s="34" t="inlineStr">
        <is>
          <t>Smart Fitness Watch Pro</t>
        </is>
      </c>
      <c r="G515" s="33" t="inlineStr">
        <is>
          <t>Electronics</t>
        </is>
      </c>
      <c r="H515" s="35" t="n">
        <v>1</v>
      </c>
      <c r="I515" s="20" t="n">
        <v>4999</v>
      </c>
      <c r="J515" s="36" t="n">
        <v>0</v>
      </c>
      <c r="K515" s="20">
        <f>H515*I515</f>
        <v/>
      </c>
      <c r="L515" s="20">
        <f>K515*J515</f>
        <v/>
      </c>
      <c r="M515" s="20">
        <f>K515-L515</f>
        <v/>
      </c>
      <c r="N515" s="20" t="n">
        <v>3200</v>
      </c>
      <c r="O515" s="20">
        <f>M515-N515</f>
        <v/>
      </c>
      <c r="P515" s="21">
        <f>IFERROR(O515/M515, 0)</f>
        <v/>
      </c>
      <c r="Q515" s="33" t="inlineStr">
        <is>
          <t>Shipped</t>
        </is>
      </c>
    </row>
    <row r="516">
      <c r="A516" s="29" t="n">
        <v>271</v>
      </c>
      <c r="B516" s="29" t="inlineStr">
        <is>
          <t>2025-01-12</t>
        </is>
      </c>
      <c r="C516" s="30" t="inlineStr">
        <is>
          <t>Meera Bhat</t>
        </is>
      </c>
      <c r="D516" s="29" t="inlineStr">
        <is>
          <t>South</t>
        </is>
      </c>
      <c r="E516" s="30" t="inlineStr">
        <is>
          <t>Bengaluru</t>
        </is>
      </c>
      <c r="F516" s="30" t="inlineStr">
        <is>
          <t>Pure Raw Honey 500g</t>
        </is>
      </c>
      <c r="G516" s="29" t="inlineStr">
        <is>
          <t>Groceries</t>
        </is>
      </c>
      <c r="H516" s="31" t="n">
        <v>1</v>
      </c>
      <c r="I516" s="16" t="n">
        <v>399</v>
      </c>
      <c r="J516" s="32" t="n">
        <v>0.1</v>
      </c>
      <c r="K516" s="16">
        <f>H516*I516</f>
        <v/>
      </c>
      <c r="L516" s="16">
        <f>K516*J516</f>
        <v/>
      </c>
      <c r="M516" s="16">
        <f>K516-L516</f>
        <v/>
      </c>
      <c r="N516" s="16" t="n">
        <v>210</v>
      </c>
      <c r="O516" s="16">
        <f>M516-N516</f>
        <v/>
      </c>
      <c r="P516" s="17">
        <f>IFERROR(O516/M516, 0)</f>
        <v/>
      </c>
      <c r="Q516" s="29" t="inlineStr">
        <is>
          <t>Shipped</t>
        </is>
      </c>
    </row>
    <row r="517">
      <c r="A517" s="33" t="n">
        <v>272</v>
      </c>
      <c r="B517" s="33" t="inlineStr">
        <is>
          <t>2025-02-04</t>
        </is>
      </c>
      <c r="C517" s="34" t="inlineStr">
        <is>
          <t>Kiran Saxena</t>
        </is>
      </c>
      <c r="D517" s="33" t="inlineStr">
        <is>
          <t>North</t>
        </is>
      </c>
      <c r="E517" s="34" t="inlineStr">
        <is>
          <t>Lucknow</t>
        </is>
      </c>
      <c r="F517" s="34" t="inlineStr">
        <is>
          <t>Insulated Stainless Steel Sipper Bottle</t>
        </is>
      </c>
      <c r="G517" s="33" t="inlineStr">
        <is>
          <t>Sports</t>
        </is>
      </c>
      <c r="H517" s="35" t="n">
        <v>3</v>
      </c>
      <c r="I517" s="20" t="n">
        <v>799</v>
      </c>
      <c r="J517" s="36" t="n">
        <v>0</v>
      </c>
      <c r="K517" s="20">
        <f>H517*I517</f>
        <v/>
      </c>
      <c r="L517" s="20">
        <f>K517*J517</f>
        <v/>
      </c>
      <c r="M517" s="20">
        <f>K517-L517</f>
        <v/>
      </c>
      <c r="N517" s="20" t="n">
        <v>1170</v>
      </c>
      <c r="O517" s="20">
        <f>M517-N517</f>
        <v/>
      </c>
      <c r="P517" s="21">
        <f>IFERROR(O517/M517, 0)</f>
        <v/>
      </c>
      <c r="Q517" s="33" t="inlineStr">
        <is>
          <t>Delivered</t>
        </is>
      </c>
    </row>
    <row r="518">
      <c r="A518" s="29" t="n">
        <v>272</v>
      </c>
      <c r="B518" s="29" t="inlineStr">
        <is>
          <t>2025-02-04</t>
        </is>
      </c>
      <c r="C518" s="30" t="inlineStr">
        <is>
          <t>Kiran Saxena</t>
        </is>
      </c>
      <c r="D518" s="29" t="inlineStr">
        <is>
          <t>North</t>
        </is>
      </c>
      <c r="E518" s="30" t="inlineStr">
        <is>
          <t>Lucknow</t>
        </is>
      </c>
      <c r="F518" s="30" t="inlineStr">
        <is>
          <t>Anti-Skid Yoga Mat 6mm</t>
        </is>
      </c>
      <c r="G518" s="29" t="inlineStr">
        <is>
          <t>Sports</t>
        </is>
      </c>
      <c r="H518" s="31" t="n">
        <v>1</v>
      </c>
      <c r="I518" s="16" t="n">
        <v>999</v>
      </c>
      <c r="J518" s="32" t="n">
        <v>0.1</v>
      </c>
      <c r="K518" s="16">
        <f>H518*I518</f>
        <v/>
      </c>
      <c r="L518" s="16">
        <f>K518*J518</f>
        <v/>
      </c>
      <c r="M518" s="16">
        <f>K518-L518</f>
        <v/>
      </c>
      <c r="N518" s="16" t="n">
        <v>480</v>
      </c>
      <c r="O518" s="16">
        <f>M518-N518</f>
        <v/>
      </c>
      <c r="P518" s="17">
        <f>IFERROR(O518/M518, 0)</f>
        <v/>
      </c>
      <c r="Q518" s="29" t="inlineStr">
        <is>
          <t>Delivered</t>
        </is>
      </c>
    </row>
    <row r="519">
      <c r="A519" s="33" t="n">
        <v>273</v>
      </c>
      <c r="B519" s="33" t="inlineStr">
        <is>
          <t>2025-01-11</t>
        </is>
      </c>
      <c r="C519" s="34" t="inlineStr">
        <is>
          <t>Alok Bhat</t>
        </is>
      </c>
      <c r="D519" s="33" t="inlineStr">
        <is>
          <t>North</t>
        </is>
      </c>
      <c r="E519" s="34" t="inlineStr">
        <is>
          <t>Noida</t>
        </is>
      </c>
      <c r="F519" s="34" t="inlineStr">
        <is>
          <t>Automatic Air Fryer 4.5L</t>
        </is>
      </c>
      <c r="G519" s="33" t="inlineStr">
        <is>
          <t>Home &amp; Living</t>
        </is>
      </c>
      <c r="H519" s="35" t="n">
        <v>2</v>
      </c>
      <c r="I519" s="20" t="n">
        <v>5499</v>
      </c>
      <c r="J519" s="36" t="n">
        <v>0.2</v>
      </c>
      <c r="K519" s="20">
        <f>H519*I519</f>
        <v/>
      </c>
      <c r="L519" s="20">
        <f>K519*J519</f>
        <v/>
      </c>
      <c r="M519" s="20">
        <f>K519-L519</f>
        <v/>
      </c>
      <c r="N519" s="20" t="n">
        <v>7200</v>
      </c>
      <c r="O519" s="20">
        <f>M519-N519</f>
        <v/>
      </c>
      <c r="P519" s="21">
        <f>IFERROR(O519/M519, 0)</f>
        <v/>
      </c>
      <c r="Q519" s="33" t="inlineStr">
        <is>
          <t>Delivered</t>
        </is>
      </c>
    </row>
    <row r="520">
      <c r="A520" s="29" t="n">
        <v>274</v>
      </c>
      <c r="B520" s="29" t="inlineStr">
        <is>
          <t>2024-11-05</t>
        </is>
      </c>
      <c r="C520" s="30" t="inlineStr">
        <is>
          <t>Deepika Iyer</t>
        </is>
      </c>
      <c r="D520" s="29" t="inlineStr">
        <is>
          <t>South</t>
        </is>
      </c>
      <c r="E520" s="30" t="inlineStr">
        <is>
          <t>Chennai</t>
        </is>
      </c>
      <c r="F520" s="30" t="inlineStr">
        <is>
          <t>Stainless Steel Electric Kettle 1.8L</t>
        </is>
      </c>
      <c r="G520" s="29" t="inlineStr">
        <is>
          <t>Home &amp; Living</t>
        </is>
      </c>
      <c r="H520" s="31" t="n">
        <v>4</v>
      </c>
      <c r="I520" s="16" t="n">
        <v>1299</v>
      </c>
      <c r="J520" s="32" t="n">
        <v>0.12</v>
      </c>
      <c r="K520" s="16">
        <f>H520*I520</f>
        <v/>
      </c>
      <c r="L520" s="16">
        <f>K520*J520</f>
        <v/>
      </c>
      <c r="M520" s="16">
        <f>K520-L520</f>
        <v/>
      </c>
      <c r="N520" s="16" t="n">
        <v>2880</v>
      </c>
      <c r="O520" s="16">
        <f>M520-N520</f>
        <v/>
      </c>
      <c r="P520" s="17">
        <f>IFERROR(O520/M520, 0)</f>
        <v/>
      </c>
      <c r="Q520" s="29" t="inlineStr">
        <is>
          <t>Delivered</t>
        </is>
      </c>
    </row>
    <row r="521">
      <c r="A521" s="33" t="n">
        <v>275</v>
      </c>
      <c r="B521" s="33" t="inlineStr">
        <is>
          <t>2025-07-12</t>
        </is>
      </c>
      <c r="C521" s="34" t="inlineStr">
        <is>
          <t>Swati Reddy</t>
        </is>
      </c>
      <c r="D521" s="33" t="inlineStr">
        <is>
          <t>West</t>
        </is>
      </c>
      <c r="E521" s="34" t="inlineStr">
        <is>
          <t>Mumbai</t>
        </is>
      </c>
      <c r="F521" s="34" t="inlineStr">
        <is>
          <t>Double Bed Pure Cotton Bedsheet</t>
        </is>
      </c>
      <c r="G521" s="33" t="inlineStr">
        <is>
          <t>Home &amp; Living</t>
        </is>
      </c>
      <c r="H521" s="35" t="n">
        <v>2</v>
      </c>
      <c r="I521" s="20" t="n">
        <v>1599</v>
      </c>
      <c r="J521" s="36" t="n">
        <v>0.1</v>
      </c>
      <c r="K521" s="20">
        <f>H521*I521</f>
        <v/>
      </c>
      <c r="L521" s="20">
        <f>K521*J521</f>
        <v/>
      </c>
      <c r="M521" s="20">
        <f>K521-L521</f>
        <v/>
      </c>
      <c r="N521" s="20" t="n">
        <v>1560</v>
      </c>
      <c r="O521" s="20">
        <f>M521-N521</f>
        <v/>
      </c>
      <c r="P521" s="21">
        <f>IFERROR(O521/M521, 0)</f>
        <v/>
      </c>
      <c r="Q521" s="33" t="inlineStr">
        <is>
          <t>Delivered</t>
        </is>
      </c>
    </row>
    <row r="522">
      <c r="A522" s="29" t="n">
        <v>275</v>
      </c>
      <c r="B522" s="29" t="inlineStr">
        <is>
          <t>2025-07-12</t>
        </is>
      </c>
      <c r="C522" s="30" t="inlineStr">
        <is>
          <t>Swati Reddy</t>
        </is>
      </c>
      <c r="D522" s="29" t="inlineStr">
        <is>
          <t>West</t>
        </is>
      </c>
      <c r="E522" s="30" t="inlineStr">
        <is>
          <t>Mumbai</t>
        </is>
      </c>
      <c r="F522" s="30" t="inlineStr">
        <is>
          <t>Insulated Stainless Steel Sipper Bottle</t>
        </is>
      </c>
      <c r="G522" s="29" t="inlineStr">
        <is>
          <t>Sports</t>
        </is>
      </c>
      <c r="H522" s="31" t="n">
        <v>1</v>
      </c>
      <c r="I522" s="16" t="n">
        <v>799</v>
      </c>
      <c r="J522" s="32" t="n">
        <v>0.12</v>
      </c>
      <c r="K522" s="16">
        <f>H522*I522</f>
        <v/>
      </c>
      <c r="L522" s="16">
        <f>K522*J522</f>
        <v/>
      </c>
      <c r="M522" s="16">
        <f>K522-L522</f>
        <v/>
      </c>
      <c r="N522" s="16" t="n">
        <v>390</v>
      </c>
      <c r="O522" s="16">
        <f>M522-N522</f>
        <v/>
      </c>
      <c r="P522" s="17">
        <f>IFERROR(O522/M522, 0)</f>
        <v/>
      </c>
      <c r="Q522" s="29" t="inlineStr">
        <is>
          <t>Delivered</t>
        </is>
      </c>
    </row>
    <row r="523">
      <c r="A523" s="33" t="n">
        <v>276</v>
      </c>
      <c r="B523" s="33" t="inlineStr">
        <is>
          <t>2025-02-21</t>
        </is>
      </c>
      <c r="C523" s="34" t="inlineStr">
        <is>
          <t>Rhea Kulkarni</t>
        </is>
      </c>
      <c r="D523" s="33" t="inlineStr">
        <is>
          <t>North</t>
        </is>
      </c>
      <c r="E523" s="34" t="inlineStr">
        <is>
          <t>Jaipur</t>
        </is>
      </c>
      <c r="F523" s="34" t="inlineStr">
        <is>
          <t>Women Floral Embroidered Kurti</t>
        </is>
      </c>
      <c r="G523" s="33" t="inlineStr">
        <is>
          <t>Fashion</t>
        </is>
      </c>
      <c r="H523" s="35" t="n">
        <v>1</v>
      </c>
      <c r="I523" s="20" t="n">
        <v>1899</v>
      </c>
      <c r="J523" s="36" t="n">
        <v>0</v>
      </c>
      <c r="K523" s="20">
        <f>H523*I523</f>
        <v/>
      </c>
      <c r="L523" s="20">
        <f>K523*J523</f>
        <v/>
      </c>
      <c r="M523" s="20">
        <f>K523-L523</f>
        <v/>
      </c>
      <c r="N523" s="20" t="n">
        <v>800</v>
      </c>
      <c r="O523" s="20">
        <f>M523-N523</f>
        <v/>
      </c>
      <c r="P523" s="21">
        <f>IFERROR(O523/M523, 0)</f>
        <v/>
      </c>
      <c r="Q523" s="33" t="inlineStr">
        <is>
          <t>Delivered</t>
        </is>
      </c>
    </row>
    <row r="524">
      <c r="A524" s="29" t="n">
        <v>277</v>
      </c>
      <c r="B524" s="29" t="inlineStr">
        <is>
          <t>2025-08-17</t>
        </is>
      </c>
      <c r="C524" s="30" t="inlineStr">
        <is>
          <t>Swati Iyer</t>
        </is>
      </c>
      <c r="D524" s="29" t="inlineStr">
        <is>
          <t>Central</t>
        </is>
      </c>
      <c r="E524" s="30" t="inlineStr">
        <is>
          <t>Indore</t>
        </is>
      </c>
      <c r="F524" s="30" t="inlineStr">
        <is>
          <t>Multipurpose Desk Organizer Set</t>
        </is>
      </c>
      <c r="G524" s="29" t="inlineStr">
        <is>
          <t>Home &amp; Living</t>
        </is>
      </c>
      <c r="H524" s="31" t="n">
        <v>1</v>
      </c>
      <c r="I524" s="16" t="n">
        <v>699</v>
      </c>
      <c r="J524" s="32" t="n">
        <v>0.12</v>
      </c>
      <c r="K524" s="16">
        <f>H524*I524</f>
        <v/>
      </c>
      <c r="L524" s="16">
        <f>K524*J524</f>
        <v/>
      </c>
      <c r="M524" s="16">
        <f>K524-L524</f>
        <v/>
      </c>
      <c r="N524" s="16" t="n">
        <v>290</v>
      </c>
      <c r="O524" s="16">
        <f>M524-N524</f>
        <v/>
      </c>
      <c r="P524" s="17">
        <f>IFERROR(O524/M524, 0)</f>
        <v/>
      </c>
      <c r="Q524" s="29" t="inlineStr">
        <is>
          <t>Processing</t>
        </is>
      </c>
    </row>
    <row r="525">
      <c r="A525" s="33" t="n">
        <v>277</v>
      </c>
      <c r="B525" s="33" t="inlineStr">
        <is>
          <t>2025-08-17</t>
        </is>
      </c>
      <c r="C525" s="34" t="inlineStr">
        <is>
          <t>Swati Iyer</t>
        </is>
      </c>
      <c r="D525" s="33" t="inlineStr">
        <is>
          <t>Central</t>
        </is>
      </c>
      <c r="E525" s="34" t="inlineStr">
        <is>
          <t>Indore</t>
        </is>
      </c>
      <c r="F525" s="34" t="inlineStr">
        <is>
          <t>Cold-Pressed Extra Virgin Olive Oil 1L</t>
        </is>
      </c>
      <c r="G525" s="33" t="inlineStr">
        <is>
          <t>Groceries</t>
        </is>
      </c>
      <c r="H525" s="35" t="n">
        <v>1</v>
      </c>
      <c r="I525" s="20" t="n">
        <v>1199</v>
      </c>
      <c r="J525" s="36" t="n">
        <v>0.2</v>
      </c>
      <c r="K525" s="20">
        <f>H525*I525</f>
        <v/>
      </c>
      <c r="L525" s="20">
        <f>K525*J525</f>
        <v/>
      </c>
      <c r="M525" s="20">
        <f>K525-L525</f>
        <v/>
      </c>
      <c r="N525" s="20" t="n">
        <v>780</v>
      </c>
      <c r="O525" s="20">
        <f>M525-N525</f>
        <v/>
      </c>
      <c r="P525" s="21">
        <f>IFERROR(O525/M525, 0)</f>
        <v/>
      </c>
      <c r="Q525" s="33" t="inlineStr">
        <is>
          <t>Processing</t>
        </is>
      </c>
    </row>
    <row r="526">
      <c r="A526" s="29" t="n">
        <v>278</v>
      </c>
      <c r="B526" s="29" t="inlineStr">
        <is>
          <t>2025-05-07</t>
        </is>
      </c>
      <c r="C526" s="30" t="inlineStr">
        <is>
          <t>Deepika Nair</t>
        </is>
      </c>
      <c r="D526" s="29" t="inlineStr">
        <is>
          <t>West</t>
        </is>
      </c>
      <c r="E526" s="30" t="inlineStr">
        <is>
          <t>Nagpur</t>
        </is>
      </c>
      <c r="F526" s="30" t="inlineStr">
        <is>
          <t>Wireless Noise-Cancelling Headphones</t>
        </is>
      </c>
      <c r="G526" s="29" t="inlineStr">
        <is>
          <t>Electronics</t>
        </is>
      </c>
      <c r="H526" s="31" t="n">
        <v>1</v>
      </c>
      <c r="I526" s="16" t="n">
        <v>7499</v>
      </c>
      <c r="J526" s="32" t="n">
        <v>0.1</v>
      </c>
      <c r="K526" s="16">
        <f>H526*I526</f>
        <v/>
      </c>
      <c r="L526" s="16">
        <f>K526*J526</f>
        <v/>
      </c>
      <c r="M526" s="16">
        <f>K526-L526</f>
        <v/>
      </c>
      <c r="N526" s="16" t="n">
        <v>4800</v>
      </c>
      <c r="O526" s="16">
        <f>M526-N526</f>
        <v/>
      </c>
      <c r="P526" s="17">
        <f>IFERROR(O526/M526, 0)</f>
        <v/>
      </c>
      <c r="Q526" s="29" t="inlineStr">
        <is>
          <t>Shipped</t>
        </is>
      </c>
    </row>
    <row r="527">
      <c r="A527" s="33" t="n">
        <v>278</v>
      </c>
      <c r="B527" s="33" t="inlineStr">
        <is>
          <t>2025-05-07</t>
        </is>
      </c>
      <c r="C527" s="34" t="inlineStr">
        <is>
          <t>Deepika Nair</t>
        </is>
      </c>
      <c r="D527" s="33" t="inlineStr">
        <is>
          <t>West</t>
        </is>
      </c>
      <c r="E527" s="34" t="inlineStr">
        <is>
          <t>Nagpur</t>
        </is>
      </c>
      <c r="F527" s="34" t="inlineStr">
        <is>
          <t>Skipping Rope with Digital Counter</t>
        </is>
      </c>
      <c r="G527" s="33" t="inlineStr">
        <is>
          <t>Sports</t>
        </is>
      </c>
      <c r="H527" s="35" t="n">
        <v>1</v>
      </c>
      <c r="I527" s="20" t="n">
        <v>499</v>
      </c>
      <c r="J527" s="36" t="n">
        <v>0.2</v>
      </c>
      <c r="K527" s="20">
        <f>H527*I527</f>
        <v/>
      </c>
      <c r="L527" s="20">
        <f>K527*J527</f>
        <v/>
      </c>
      <c r="M527" s="20">
        <f>K527-L527</f>
        <v/>
      </c>
      <c r="N527" s="20" t="n">
        <v>210</v>
      </c>
      <c r="O527" s="20">
        <f>M527-N527</f>
        <v/>
      </c>
      <c r="P527" s="21">
        <f>IFERROR(O527/M527, 0)</f>
        <v/>
      </c>
      <c r="Q527" s="33" t="inlineStr">
        <is>
          <t>Shipped</t>
        </is>
      </c>
    </row>
    <row r="528">
      <c r="A528" s="29" t="n">
        <v>278</v>
      </c>
      <c r="B528" s="29" t="inlineStr">
        <is>
          <t>2025-05-07</t>
        </is>
      </c>
      <c r="C528" s="30" t="inlineStr">
        <is>
          <t>Deepika Nair</t>
        </is>
      </c>
      <c r="D528" s="29" t="inlineStr">
        <is>
          <t>West</t>
        </is>
      </c>
      <c r="E528" s="30" t="inlineStr">
        <is>
          <t>Nagpur</t>
        </is>
      </c>
      <c r="F528" s="30" t="inlineStr">
        <is>
          <t>Automatic Air Fryer 4.5L</t>
        </is>
      </c>
      <c r="G528" s="29" t="inlineStr">
        <is>
          <t>Home &amp; Living</t>
        </is>
      </c>
      <c r="H528" s="31" t="n">
        <v>2</v>
      </c>
      <c r="I528" s="16" t="n">
        <v>5499</v>
      </c>
      <c r="J528" s="32" t="n">
        <v>0</v>
      </c>
      <c r="K528" s="16">
        <f>H528*I528</f>
        <v/>
      </c>
      <c r="L528" s="16">
        <f>K528*J528</f>
        <v/>
      </c>
      <c r="M528" s="16">
        <f>K528-L528</f>
        <v/>
      </c>
      <c r="N528" s="16" t="n">
        <v>7200</v>
      </c>
      <c r="O528" s="16">
        <f>M528-N528</f>
        <v/>
      </c>
      <c r="P528" s="17">
        <f>IFERROR(O528/M528, 0)</f>
        <v/>
      </c>
      <c r="Q528" s="29" t="inlineStr">
        <is>
          <t>Shipped</t>
        </is>
      </c>
    </row>
    <row r="529">
      <c r="A529" s="33" t="n">
        <v>279</v>
      </c>
      <c r="B529" s="33" t="inlineStr">
        <is>
          <t>2024-11-17</t>
        </is>
      </c>
      <c r="C529" s="34" t="inlineStr">
        <is>
          <t>Kiran Gupta</t>
        </is>
      </c>
      <c r="D529" s="33" t="inlineStr">
        <is>
          <t>North</t>
        </is>
      </c>
      <c r="E529" s="34" t="inlineStr">
        <is>
          <t>Delhi</t>
        </is>
      </c>
      <c r="F529" s="34" t="inlineStr">
        <is>
          <t>Mechanical Gaming Keyboard</t>
        </is>
      </c>
      <c r="G529" s="33" t="inlineStr">
        <is>
          <t>Electronics</t>
        </is>
      </c>
      <c r="H529" s="35" t="n">
        <v>1</v>
      </c>
      <c r="I529" s="20" t="n">
        <v>3299</v>
      </c>
      <c r="J529" s="36" t="n">
        <v>0</v>
      </c>
      <c r="K529" s="20">
        <f>H529*I529</f>
        <v/>
      </c>
      <c r="L529" s="20">
        <f>K529*J529</f>
        <v/>
      </c>
      <c r="M529" s="20">
        <f>K529-L529</f>
        <v/>
      </c>
      <c r="N529" s="20" t="n">
        <v>2100</v>
      </c>
      <c r="O529" s="20">
        <f>M529-N529</f>
        <v/>
      </c>
      <c r="P529" s="21">
        <f>IFERROR(O529/M529, 0)</f>
        <v/>
      </c>
      <c r="Q529" s="33" t="inlineStr">
        <is>
          <t>Delivered</t>
        </is>
      </c>
    </row>
    <row r="530">
      <c r="A530" s="29" t="n">
        <v>280</v>
      </c>
      <c r="B530" s="29" t="inlineStr">
        <is>
          <t>2025-02-16</t>
        </is>
      </c>
      <c r="C530" s="30" t="inlineStr">
        <is>
          <t>Ishaan Sharma</t>
        </is>
      </c>
      <c r="D530" s="29" t="inlineStr">
        <is>
          <t>North</t>
        </is>
      </c>
      <c r="E530" s="30" t="inlineStr">
        <is>
          <t>Gurgaon</t>
        </is>
      </c>
      <c r="F530" s="30" t="inlineStr">
        <is>
          <t>Insulated Stainless Steel Sipper Bottle</t>
        </is>
      </c>
      <c r="G530" s="29" t="inlineStr">
        <is>
          <t>Sports</t>
        </is>
      </c>
      <c r="H530" s="31" t="n">
        <v>3</v>
      </c>
      <c r="I530" s="16" t="n">
        <v>799</v>
      </c>
      <c r="J530" s="32" t="n">
        <v>0.12</v>
      </c>
      <c r="K530" s="16">
        <f>H530*I530</f>
        <v/>
      </c>
      <c r="L530" s="16">
        <f>K530*J530</f>
        <v/>
      </c>
      <c r="M530" s="16">
        <f>K530-L530</f>
        <v/>
      </c>
      <c r="N530" s="16" t="n">
        <v>1170</v>
      </c>
      <c r="O530" s="16">
        <f>M530-N530</f>
        <v/>
      </c>
      <c r="P530" s="17">
        <f>IFERROR(O530/M530, 0)</f>
        <v/>
      </c>
      <c r="Q530" s="29" t="inlineStr">
        <is>
          <t>Cancelled</t>
        </is>
      </c>
    </row>
    <row r="531">
      <c r="A531" s="33" t="n">
        <v>280</v>
      </c>
      <c r="B531" s="33" t="inlineStr">
        <is>
          <t>2025-02-16</t>
        </is>
      </c>
      <c r="C531" s="34" t="inlineStr">
        <is>
          <t>Ishaan Sharma</t>
        </is>
      </c>
      <c r="D531" s="33" t="inlineStr">
        <is>
          <t>North</t>
        </is>
      </c>
      <c r="E531" s="34" t="inlineStr">
        <is>
          <t>Gurgaon</t>
        </is>
      </c>
      <c r="F531" s="34" t="inlineStr">
        <is>
          <t>Orthopedic Memory Foam Pillow</t>
        </is>
      </c>
      <c r="G531" s="33" t="inlineStr">
        <is>
          <t>Home &amp; Living</t>
        </is>
      </c>
      <c r="H531" s="35" t="n">
        <v>2</v>
      </c>
      <c r="I531" s="20" t="n">
        <v>1799</v>
      </c>
      <c r="J531" s="36" t="n">
        <v>0</v>
      </c>
      <c r="K531" s="20">
        <f>H531*I531</f>
        <v/>
      </c>
      <c r="L531" s="20">
        <f>K531*J531</f>
        <v/>
      </c>
      <c r="M531" s="20">
        <f>K531-L531</f>
        <v/>
      </c>
      <c r="N531" s="20" t="n">
        <v>1900</v>
      </c>
      <c r="O531" s="20">
        <f>M531-N531</f>
        <v/>
      </c>
      <c r="P531" s="21">
        <f>IFERROR(O531/M531, 0)</f>
        <v/>
      </c>
      <c r="Q531" s="33" t="inlineStr">
        <is>
          <t>Cancelled</t>
        </is>
      </c>
    </row>
  </sheetData>
  <autoFilter ref="A1:Q5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26" customWidth="1" min="3" max="3"/>
    <col width="45" customWidth="1" min="4" max="4"/>
    <col width="28" customWidth="1" min="5" max="5"/>
    <col width="16" customWidth="1" min="6" max="6"/>
    <col width="18" customWidth="1" min="7" max="7"/>
    <col width="16" customWidth="1" min="8" max="8"/>
    <col width="16" customWidth="1" min="9" max="9"/>
    <col width="16" customWidth="1" min="10" max="10"/>
    <col width="18" customWidth="1" min="11" max="11"/>
  </cols>
  <sheetData>
    <row r="1">
      <c r="A1" s="1" t="inlineStr">
        <is>
          <t xml:space="preserve">   EXCEL PRACTICAL: ADVANCED LOGICAL &amp; AGGREGATE FORMULAS</t>
        </is>
      </c>
    </row>
    <row r="2"/>
    <row r="4">
      <c r="A4" s="13" t="inlineStr">
        <is>
          <t>Formula Type</t>
        </is>
      </c>
      <c r="B4" s="12" t="inlineStr">
        <is>
          <t>Function Syntax</t>
        </is>
      </c>
      <c r="C4" s="12" t="inlineStr">
        <is>
          <t>Target Data Column</t>
        </is>
      </c>
      <c r="D4" s="12" t="inlineStr">
        <is>
          <t>Business Purpose &amp; Logic</t>
        </is>
      </c>
      <c r="E4" s="13" t="inlineStr">
        <is>
          <t>Live Formula Output</t>
        </is>
      </c>
    </row>
    <row r="5">
      <c r="A5" s="37" t="inlineStr">
        <is>
          <t>IF</t>
        </is>
      </c>
      <c r="B5" s="38">
        <f>IF(Sales_Transactions!M2&gt;=5000, "High Value", "Standard")</f>
        <v/>
      </c>
      <c r="C5" s="34" t="inlineStr">
        <is>
          <t>Net_Amount_INR (Col M)</t>
        </is>
      </c>
      <c r="D5" s="34" t="inlineStr">
        <is>
          <t>Binary threshold check: tags transaction as 'High Value' if amount &gt;= ₹5,000.</t>
        </is>
      </c>
      <c r="E5" s="37">
        <f>IF(Sales_Transactions!M2&gt;=5000, "High Value", "Standard")</f>
        <v/>
      </c>
    </row>
    <row r="6">
      <c r="A6" s="39" t="inlineStr">
        <is>
          <t>Nested IF</t>
        </is>
      </c>
      <c r="B6" s="40">
        <f>IF(Sales_Transactions!M2&gt;=25000, "Tier 1", IF(Sales_Transactions!M2&gt;=10000, "Tier 2", IF(Sales_Transactions!M2&gt;=3000, "Tier 3", "Tier 4")))</f>
        <v/>
      </c>
      <c r="C6" s="30" t="inlineStr">
        <is>
          <t>Net_Amount_INR (Col M)</t>
        </is>
      </c>
      <c r="D6" s="30" t="inlineStr">
        <is>
          <t>Hierarchical spend tiering: Tier 1 (&gt;=₹25K), Tier 2 (&gt;=₹10K), Tier 3 (&gt;=₹3K), Tier 4 (&lt;₹3K).</t>
        </is>
      </c>
      <c r="E6" s="39">
        <f>IF(Sales_Transactions!M2&gt;=25000, "Tier 1", IF(Sales_Transactions!M2&gt;=10000, "Tier 2", IF(Sales_Transactions!M2&gt;=3000, "Tier 3", "Tier 4")))</f>
        <v/>
      </c>
    </row>
    <row r="7">
      <c r="A7" s="37" t="inlineStr">
        <is>
          <t>AND</t>
        </is>
      </c>
      <c r="B7" s="38">
        <f>IF(AND(Sales_Transactions!M2&gt;=5000, Sales_Transactions!Q2="Delivered"), "Qualifies For Loyalty Bonus", "No Bonus")</f>
        <v/>
      </c>
      <c r="C7" s="34" t="inlineStr">
        <is>
          <t>Net Amount &amp; Order Status</t>
        </is>
      </c>
      <c r="D7" s="34" t="inlineStr">
        <is>
          <t>Conjunctive test: requires order to be high-value (&gt;=₹5,000) AND successfully Delivered.</t>
        </is>
      </c>
      <c r="E7" s="37">
        <f>IF(AND(Sales_Transactions!M2&gt;=5000, Sales_Transactions!Q2="Delivered"), "Qualifies For Loyalty Bonus", "No Bonus")</f>
        <v/>
      </c>
    </row>
    <row r="8">
      <c r="A8" s="39" t="inlineStr">
        <is>
          <t>OR</t>
        </is>
      </c>
      <c r="B8" s="40">
        <f>IF(OR(Sales_Transactions!D2="North", Sales_Transactions!D2="South"), "Priority Delivery Zone", "Standard Zone")</f>
        <v/>
      </c>
      <c r="C8" s="30" t="inlineStr">
        <is>
          <t>Region (Col D)</t>
        </is>
      </c>
      <c r="D8" s="30" t="inlineStr">
        <is>
          <t>Disjunctive test: tags transaction if order destination is either North OR South region.</t>
        </is>
      </c>
      <c r="E8" s="39">
        <f>IF(OR(Sales_Transactions!D2="North", Sales_Transactions!D2="South"), "Priority Delivery Zone", "Standard Zone")</f>
        <v/>
      </c>
    </row>
    <row r="9">
      <c r="A9" s="37" t="inlineStr">
        <is>
          <t>NOT</t>
        </is>
      </c>
      <c r="B9" s="38">
        <f>IF(NOT(Sales_Transactions!Q2="Cancelled"), "Valid Sale", "Excluded")</f>
        <v/>
      </c>
      <c r="C9" s="34" t="inlineStr">
        <is>
          <t>Order_Status (Col Q)</t>
        </is>
      </c>
      <c r="D9" s="34" t="inlineStr">
        <is>
          <t>Logical negation: isolates active/valid revenue transactions by excluding Cancelled orders.</t>
        </is>
      </c>
      <c r="E9" s="37">
        <f>IF(NOT(Sales_Transactions!Q2="Cancelled"), "Valid Sale", "Excluded")</f>
        <v/>
      </c>
    </row>
    <row r="10">
      <c r="A10" s="39" t="inlineStr">
        <is>
          <t>IFERROR</t>
        </is>
      </c>
      <c r="B10" s="40">
        <f>IFERROR(Sales_Transactions!O2/Sales_Transactions!M2, 0)</f>
        <v/>
      </c>
      <c r="C10" s="30" t="inlineStr">
        <is>
          <t>Profit / Net Amount</t>
        </is>
      </c>
      <c r="D10" s="30" t="inlineStr">
        <is>
          <t>Fault-tolerance error handler: prevents #DIV/0! or #VALUE! runtime crashes on division.</t>
        </is>
      </c>
      <c r="E10" s="41">
        <f>IFERROR(Sales_Transactions!O2/Sales_Transactions!M2, 0)</f>
        <v/>
      </c>
    </row>
    <row r="11">
      <c r="A11" s="37" t="inlineStr">
        <is>
          <t>SUMIF</t>
        </is>
      </c>
      <c r="B11" s="38">
        <f>SUMIF(Sales_Transactions!G:G, "Electronics", Sales_Transactions!M:M)</f>
        <v/>
      </c>
      <c r="C11" s="34" t="inlineStr">
        <is>
          <t>Category (G) &amp; Net Amount (M)</t>
        </is>
      </c>
      <c r="D11" s="34" t="inlineStr">
        <is>
          <t>Conditional summation: totals realized net revenue specifically for the Electronics department.</t>
        </is>
      </c>
      <c r="E11" s="42">
        <f>SUMIF(Sales_Transactions!G:G, "Electronics", Sales_Transactions!M:M)</f>
        <v/>
      </c>
    </row>
    <row r="12">
      <c r="A12" s="39" t="inlineStr">
        <is>
          <t>AVERAGEIF</t>
        </is>
      </c>
      <c r="B12" s="40">
        <f>AVERAGEIF(Sales_Transactions!G:G, "Fashion", Sales_Transactions!M:M)</f>
        <v/>
      </c>
      <c r="C12" s="30" t="inlineStr">
        <is>
          <t>Category (G) &amp; Net Amount (M)</t>
        </is>
      </c>
      <c r="D12" s="30" t="inlineStr">
        <is>
          <t>Conditional average: computes arithmetic mean ticket price for the Fashion department.</t>
        </is>
      </c>
      <c r="E12" s="43">
        <f>AVERAGEIF(Sales_Transactions!G:G, "Fashion", Sales_Transactions!M:M)</f>
        <v/>
      </c>
    </row>
    <row r="13">
      <c r="A13" s="37" t="inlineStr">
        <is>
          <t>COUNTIF</t>
        </is>
      </c>
      <c r="B13" s="38">
        <f>COUNTIF(Sales_Transactions!Q:Q, "Delivered")</f>
        <v/>
      </c>
      <c r="C13" s="34" t="inlineStr">
        <is>
          <t>Order_Status (Col Q)</t>
        </is>
      </c>
      <c r="D13" s="34" t="inlineStr">
        <is>
          <t>Conditional frequency: counts the exact count of fully fulfilled 'Delivered' orders.</t>
        </is>
      </c>
      <c r="E13" s="44">
        <f>COUNTIF(Sales_Transactions!Q:Q, "Delivered")</f>
        <v/>
      </c>
    </row>
    <row r="16">
      <c r="A16" s="11" t="inlineStr">
        <is>
          <t>Live Formula Evaluation Grid (Applied Row-by-Row on First 15 Orders)</t>
        </is>
      </c>
    </row>
    <row r="17">
      <c r="A17" s="27" t="inlineStr">
        <is>
          <t>Row</t>
        </is>
      </c>
      <c r="B17" s="27" t="inlineStr">
        <is>
          <t>Order ID</t>
        </is>
      </c>
      <c r="C17" s="27" t="inlineStr">
        <is>
          <t>Customer</t>
        </is>
      </c>
      <c r="D17" s="27" t="inlineStr">
        <is>
          <t>Net Amount</t>
        </is>
      </c>
      <c r="E17" s="27" t="inlineStr">
        <is>
          <t>Status</t>
        </is>
      </c>
      <c r="F17" s="27" t="inlineStr">
        <is>
          <t>IF Test</t>
        </is>
      </c>
      <c r="G17" s="27" t="inlineStr">
        <is>
          <t>Nested IF Tier</t>
        </is>
      </c>
      <c r="H17" s="27" t="inlineStr">
        <is>
          <t>AND Bonus</t>
        </is>
      </c>
      <c r="I17" s="27" t="inlineStr">
        <is>
          <t>OR Zone</t>
        </is>
      </c>
      <c r="J17" s="27" t="inlineStr">
        <is>
          <t>NOT Audit</t>
        </is>
      </c>
      <c r="K17" s="27" t="inlineStr">
        <is>
          <t>Margin (IFERROR)</t>
        </is>
      </c>
    </row>
    <row r="18">
      <c r="A18" s="29" t="n">
        <v>1</v>
      </c>
      <c r="B18" s="29">
        <f>Sales_Transactions!A2</f>
        <v/>
      </c>
      <c r="C18" s="30">
        <f>Sales_Transactions!C2</f>
        <v/>
      </c>
      <c r="D18" s="16">
        <f>Sales_Transactions!M2</f>
        <v/>
      </c>
      <c r="E18" s="29">
        <f>Sales_Transactions!Q2</f>
        <v/>
      </c>
      <c r="F18" s="29">
        <f>IF(Sales_Transactions!M2&gt;=5000, "High Value", "Standard")</f>
        <v/>
      </c>
      <c r="G18" s="29">
        <f>IF(Sales_Transactions!M2&gt;=25000, "Tier 1", IF(Sales_Transactions!M2&gt;=10000, "Tier 2", IF(Sales_Transactions!M2&gt;=3000, "Tier 3", "Tier 4")))</f>
        <v/>
      </c>
      <c r="H18" s="29">
        <f>IF(AND(Sales_Transactions!M2&gt;=5000, Sales_Transactions!Q2="Delivered"), "Bonus", "No")</f>
        <v/>
      </c>
      <c r="I18" s="29">
        <f>IF(OR(Sales_Transactions!D2="North", Sales_Transactions!D2="South"), "Priority", "Standard")</f>
        <v/>
      </c>
      <c r="J18" s="29">
        <f>IF(NOT(Sales_Transactions!Q2="Cancelled"), "Valid", "Excluded")</f>
        <v/>
      </c>
      <c r="K18" s="45">
        <f>IFERROR(Sales_Transactions!O2/Sales_Transactions!M2, 0)</f>
        <v/>
      </c>
    </row>
    <row r="19">
      <c r="A19" s="33" t="n">
        <v>2</v>
      </c>
      <c r="B19" s="33">
        <f>Sales_Transactions!A3</f>
        <v/>
      </c>
      <c r="C19" s="34">
        <f>Sales_Transactions!C3</f>
        <v/>
      </c>
      <c r="D19" s="20">
        <f>Sales_Transactions!M3</f>
        <v/>
      </c>
      <c r="E19" s="33">
        <f>Sales_Transactions!Q3</f>
        <v/>
      </c>
      <c r="F19" s="33">
        <f>IF(Sales_Transactions!M3&gt;=5000, "High Value", "Standard")</f>
        <v/>
      </c>
      <c r="G19" s="33">
        <f>IF(Sales_Transactions!M3&gt;=25000, "Tier 1", IF(Sales_Transactions!M3&gt;=10000, "Tier 2", IF(Sales_Transactions!M3&gt;=3000, "Tier 3", "Tier 4")))</f>
        <v/>
      </c>
      <c r="H19" s="33">
        <f>IF(AND(Sales_Transactions!M3&gt;=5000, Sales_Transactions!Q3="Delivered"), "Bonus", "No")</f>
        <v/>
      </c>
      <c r="I19" s="33">
        <f>IF(OR(Sales_Transactions!D3="North", Sales_Transactions!D3="South"), "Priority", "Standard")</f>
        <v/>
      </c>
      <c r="J19" s="33">
        <f>IF(NOT(Sales_Transactions!Q3="Cancelled"), "Valid", "Excluded")</f>
        <v/>
      </c>
      <c r="K19" s="46">
        <f>IFERROR(Sales_Transactions!O3/Sales_Transactions!M3, 0)</f>
        <v/>
      </c>
    </row>
    <row r="20">
      <c r="A20" s="29" t="n">
        <v>3</v>
      </c>
      <c r="B20" s="29">
        <f>Sales_Transactions!A4</f>
        <v/>
      </c>
      <c r="C20" s="30">
        <f>Sales_Transactions!C4</f>
        <v/>
      </c>
      <c r="D20" s="16">
        <f>Sales_Transactions!M4</f>
        <v/>
      </c>
      <c r="E20" s="29">
        <f>Sales_Transactions!Q4</f>
        <v/>
      </c>
      <c r="F20" s="29">
        <f>IF(Sales_Transactions!M4&gt;=5000, "High Value", "Standard")</f>
        <v/>
      </c>
      <c r="G20" s="29">
        <f>IF(Sales_Transactions!M4&gt;=25000, "Tier 1", IF(Sales_Transactions!M4&gt;=10000, "Tier 2", IF(Sales_Transactions!M4&gt;=3000, "Tier 3", "Tier 4")))</f>
        <v/>
      </c>
      <c r="H20" s="29">
        <f>IF(AND(Sales_Transactions!M4&gt;=5000, Sales_Transactions!Q4="Delivered"), "Bonus", "No")</f>
        <v/>
      </c>
      <c r="I20" s="29">
        <f>IF(OR(Sales_Transactions!D4="North", Sales_Transactions!D4="South"), "Priority", "Standard")</f>
        <v/>
      </c>
      <c r="J20" s="29">
        <f>IF(NOT(Sales_Transactions!Q4="Cancelled"), "Valid", "Excluded")</f>
        <v/>
      </c>
      <c r="K20" s="45">
        <f>IFERROR(Sales_Transactions!O4/Sales_Transactions!M4, 0)</f>
        <v/>
      </c>
    </row>
    <row r="21">
      <c r="A21" s="33" t="n">
        <v>4</v>
      </c>
      <c r="B21" s="33">
        <f>Sales_Transactions!A5</f>
        <v/>
      </c>
      <c r="C21" s="34">
        <f>Sales_Transactions!C5</f>
        <v/>
      </c>
      <c r="D21" s="20">
        <f>Sales_Transactions!M5</f>
        <v/>
      </c>
      <c r="E21" s="33">
        <f>Sales_Transactions!Q5</f>
        <v/>
      </c>
      <c r="F21" s="33">
        <f>IF(Sales_Transactions!M5&gt;=5000, "High Value", "Standard")</f>
        <v/>
      </c>
      <c r="G21" s="33">
        <f>IF(Sales_Transactions!M5&gt;=25000, "Tier 1", IF(Sales_Transactions!M5&gt;=10000, "Tier 2", IF(Sales_Transactions!M5&gt;=3000, "Tier 3", "Tier 4")))</f>
        <v/>
      </c>
      <c r="H21" s="33">
        <f>IF(AND(Sales_Transactions!M5&gt;=5000, Sales_Transactions!Q5="Delivered"), "Bonus", "No")</f>
        <v/>
      </c>
      <c r="I21" s="33">
        <f>IF(OR(Sales_Transactions!D5="North", Sales_Transactions!D5="South"), "Priority", "Standard")</f>
        <v/>
      </c>
      <c r="J21" s="33">
        <f>IF(NOT(Sales_Transactions!Q5="Cancelled"), "Valid", "Excluded")</f>
        <v/>
      </c>
      <c r="K21" s="46">
        <f>IFERROR(Sales_Transactions!O5/Sales_Transactions!M5, 0)</f>
        <v/>
      </c>
    </row>
    <row r="22">
      <c r="A22" s="29" t="n">
        <v>5</v>
      </c>
      <c r="B22" s="29">
        <f>Sales_Transactions!A6</f>
        <v/>
      </c>
      <c r="C22" s="30">
        <f>Sales_Transactions!C6</f>
        <v/>
      </c>
      <c r="D22" s="16">
        <f>Sales_Transactions!M6</f>
        <v/>
      </c>
      <c r="E22" s="29">
        <f>Sales_Transactions!Q6</f>
        <v/>
      </c>
      <c r="F22" s="29">
        <f>IF(Sales_Transactions!M6&gt;=5000, "High Value", "Standard")</f>
        <v/>
      </c>
      <c r="G22" s="29">
        <f>IF(Sales_Transactions!M6&gt;=25000, "Tier 1", IF(Sales_Transactions!M6&gt;=10000, "Tier 2", IF(Sales_Transactions!M6&gt;=3000, "Tier 3", "Tier 4")))</f>
        <v/>
      </c>
      <c r="H22" s="29">
        <f>IF(AND(Sales_Transactions!M6&gt;=5000, Sales_Transactions!Q6="Delivered"), "Bonus", "No")</f>
        <v/>
      </c>
      <c r="I22" s="29">
        <f>IF(OR(Sales_Transactions!D6="North", Sales_Transactions!D6="South"), "Priority", "Standard")</f>
        <v/>
      </c>
      <c r="J22" s="29">
        <f>IF(NOT(Sales_Transactions!Q6="Cancelled"), "Valid", "Excluded")</f>
        <v/>
      </c>
      <c r="K22" s="45">
        <f>IFERROR(Sales_Transactions!O6/Sales_Transactions!M6, 0)</f>
        <v/>
      </c>
    </row>
    <row r="23">
      <c r="A23" s="33" t="n">
        <v>6</v>
      </c>
      <c r="B23" s="33">
        <f>Sales_Transactions!A7</f>
        <v/>
      </c>
      <c r="C23" s="34">
        <f>Sales_Transactions!C7</f>
        <v/>
      </c>
      <c r="D23" s="20">
        <f>Sales_Transactions!M7</f>
        <v/>
      </c>
      <c r="E23" s="33">
        <f>Sales_Transactions!Q7</f>
        <v/>
      </c>
      <c r="F23" s="33">
        <f>IF(Sales_Transactions!M7&gt;=5000, "High Value", "Standard")</f>
        <v/>
      </c>
      <c r="G23" s="33">
        <f>IF(Sales_Transactions!M7&gt;=25000, "Tier 1", IF(Sales_Transactions!M7&gt;=10000, "Tier 2", IF(Sales_Transactions!M7&gt;=3000, "Tier 3", "Tier 4")))</f>
        <v/>
      </c>
      <c r="H23" s="33">
        <f>IF(AND(Sales_Transactions!M7&gt;=5000, Sales_Transactions!Q7="Delivered"), "Bonus", "No")</f>
        <v/>
      </c>
      <c r="I23" s="33">
        <f>IF(OR(Sales_Transactions!D7="North", Sales_Transactions!D7="South"), "Priority", "Standard")</f>
        <v/>
      </c>
      <c r="J23" s="33">
        <f>IF(NOT(Sales_Transactions!Q7="Cancelled"), "Valid", "Excluded")</f>
        <v/>
      </c>
      <c r="K23" s="46">
        <f>IFERROR(Sales_Transactions!O7/Sales_Transactions!M7, 0)</f>
        <v/>
      </c>
    </row>
    <row r="24">
      <c r="A24" s="29" t="n">
        <v>7</v>
      </c>
      <c r="B24" s="29">
        <f>Sales_Transactions!A8</f>
        <v/>
      </c>
      <c r="C24" s="30">
        <f>Sales_Transactions!C8</f>
        <v/>
      </c>
      <c r="D24" s="16">
        <f>Sales_Transactions!M8</f>
        <v/>
      </c>
      <c r="E24" s="29">
        <f>Sales_Transactions!Q8</f>
        <v/>
      </c>
      <c r="F24" s="29">
        <f>IF(Sales_Transactions!M8&gt;=5000, "High Value", "Standard")</f>
        <v/>
      </c>
      <c r="G24" s="29">
        <f>IF(Sales_Transactions!M8&gt;=25000, "Tier 1", IF(Sales_Transactions!M8&gt;=10000, "Tier 2", IF(Sales_Transactions!M8&gt;=3000, "Tier 3", "Tier 4")))</f>
        <v/>
      </c>
      <c r="H24" s="29">
        <f>IF(AND(Sales_Transactions!M8&gt;=5000, Sales_Transactions!Q8="Delivered"), "Bonus", "No")</f>
        <v/>
      </c>
      <c r="I24" s="29">
        <f>IF(OR(Sales_Transactions!D8="North", Sales_Transactions!D8="South"), "Priority", "Standard")</f>
        <v/>
      </c>
      <c r="J24" s="29">
        <f>IF(NOT(Sales_Transactions!Q8="Cancelled"), "Valid", "Excluded")</f>
        <v/>
      </c>
      <c r="K24" s="45">
        <f>IFERROR(Sales_Transactions!O8/Sales_Transactions!M8, 0)</f>
        <v/>
      </c>
    </row>
    <row r="25">
      <c r="A25" s="33" t="n">
        <v>8</v>
      </c>
      <c r="B25" s="33">
        <f>Sales_Transactions!A9</f>
        <v/>
      </c>
      <c r="C25" s="34">
        <f>Sales_Transactions!C9</f>
        <v/>
      </c>
      <c r="D25" s="20">
        <f>Sales_Transactions!M9</f>
        <v/>
      </c>
      <c r="E25" s="33">
        <f>Sales_Transactions!Q9</f>
        <v/>
      </c>
      <c r="F25" s="33">
        <f>IF(Sales_Transactions!M9&gt;=5000, "High Value", "Standard")</f>
        <v/>
      </c>
      <c r="G25" s="33">
        <f>IF(Sales_Transactions!M9&gt;=25000, "Tier 1", IF(Sales_Transactions!M9&gt;=10000, "Tier 2", IF(Sales_Transactions!M9&gt;=3000, "Tier 3", "Tier 4")))</f>
        <v/>
      </c>
      <c r="H25" s="33">
        <f>IF(AND(Sales_Transactions!M9&gt;=5000, Sales_Transactions!Q9="Delivered"), "Bonus", "No")</f>
        <v/>
      </c>
      <c r="I25" s="33">
        <f>IF(OR(Sales_Transactions!D9="North", Sales_Transactions!D9="South"), "Priority", "Standard")</f>
        <v/>
      </c>
      <c r="J25" s="33">
        <f>IF(NOT(Sales_Transactions!Q9="Cancelled"), "Valid", "Excluded")</f>
        <v/>
      </c>
      <c r="K25" s="46">
        <f>IFERROR(Sales_Transactions!O9/Sales_Transactions!M9, 0)</f>
        <v/>
      </c>
    </row>
    <row r="26">
      <c r="A26" s="29" t="n">
        <v>9</v>
      </c>
      <c r="B26" s="29">
        <f>Sales_Transactions!A10</f>
        <v/>
      </c>
      <c r="C26" s="30">
        <f>Sales_Transactions!C10</f>
        <v/>
      </c>
      <c r="D26" s="16">
        <f>Sales_Transactions!M10</f>
        <v/>
      </c>
      <c r="E26" s="29">
        <f>Sales_Transactions!Q10</f>
        <v/>
      </c>
      <c r="F26" s="29">
        <f>IF(Sales_Transactions!M10&gt;=5000, "High Value", "Standard")</f>
        <v/>
      </c>
      <c r="G26" s="29">
        <f>IF(Sales_Transactions!M10&gt;=25000, "Tier 1", IF(Sales_Transactions!M10&gt;=10000, "Tier 2", IF(Sales_Transactions!M10&gt;=3000, "Tier 3", "Tier 4")))</f>
        <v/>
      </c>
      <c r="H26" s="29">
        <f>IF(AND(Sales_Transactions!M10&gt;=5000, Sales_Transactions!Q10="Delivered"), "Bonus", "No")</f>
        <v/>
      </c>
      <c r="I26" s="29">
        <f>IF(OR(Sales_Transactions!D10="North", Sales_Transactions!D10="South"), "Priority", "Standard")</f>
        <v/>
      </c>
      <c r="J26" s="29">
        <f>IF(NOT(Sales_Transactions!Q10="Cancelled"), "Valid", "Excluded")</f>
        <v/>
      </c>
      <c r="K26" s="45">
        <f>IFERROR(Sales_Transactions!O10/Sales_Transactions!M10, 0)</f>
        <v/>
      </c>
    </row>
    <row r="27">
      <c r="A27" s="33" t="n">
        <v>10</v>
      </c>
      <c r="B27" s="33">
        <f>Sales_Transactions!A11</f>
        <v/>
      </c>
      <c r="C27" s="34">
        <f>Sales_Transactions!C11</f>
        <v/>
      </c>
      <c r="D27" s="20">
        <f>Sales_Transactions!M11</f>
        <v/>
      </c>
      <c r="E27" s="33">
        <f>Sales_Transactions!Q11</f>
        <v/>
      </c>
      <c r="F27" s="33">
        <f>IF(Sales_Transactions!M11&gt;=5000, "High Value", "Standard")</f>
        <v/>
      </c>
      <c r="G27" s="33">
        <f>IF(Sales_Transactions!M11&gt;=25000, "Tier 1", IF(Sales_Transactions!M11&gt;=10000, "Tier 2", IF(Sales_Transactions!M11&gt;=3000, "Tier 3", "Tier 4")))</f>
        <v/>
      </c>
      <c r="H27" s="33">
        <f>IF(AND(Sales_Transactions!M11&gt;=5000, Sales_Transactions!Q11="Delivered"), "Bonus", "No")</f>
        <v/>
      </c>
      <c r="I27" s="33">
        <f>IF(OR(Sales_Transactions!D11="North", Sales_Transactions!D11="South"), "Priority", "Standard")</f>
        <v/>
      </c>
      <c r="J27" s="33">
        <f>IF(NOT(Sales_Transactions!Q11="Cancelled"), "Valid", "Excluded")</f>
        <v/>
      </c>
      <c r="K27" s="46">
        <f>IFERROR(Sales_Transactions!O11/Sales_Transactions!M11, 0)</f>
        <v/>
      </c>
    </row>
    <row r="28">
      <c r="A28" s="29" t="n">
        <v>11</v>
      </c>
      <c r="B28" s="29">
        <f>Sales_Transactions!A12</f>
        <v/>
      </c>
      <c r="C28" s="30">
        <f>Sales_Transactions!C12</f>
        <v/>
      </c>
      <c r="D28" s="16">
        <f>Sales_Transactions!M12</f>
        <v/>
      </c>
      <c r="E28" s="29">
        <f>Sales_Transactions!Q12</f>
        <v/>
      </c>
      <c r="F28" s="29">
        <f>IF(Sales_Transactions!M12&gt;=5000, "High Value", "Standard")</f>
        <v/>
      </c>
      <c r="G28" s="29">
        <f>IF(Sales_Transactions!M12&gt;=25000, "Tier 1", IF(Sales_Transactions!M12&gt;=10000, "Tier 2", IF(Sales_Transactions!M12&gt;=3000, "Tier 3", "Tier 4")))</f>
        <v/>
      </c>
      <c r="H28" s="29">
        <f>IF(AND(Sales_Transactions!M12&gt;=5000, Sales_Transactions!Q12="Delivered"), "Bonus", "No")</f>
        <v/>
      </c>
      <c r="I28" s="29">
        <f>IF(OR(Sales_Transactions!D12="North", Sales_Transactions!D12="South"), "Priority", "Standard")</f>
        <v/>
      </c>
      <c r="J28" s="29">
        <f>IF(NOT(Sales_Transactions!Q12="Cancelled"), "Valid", "Excluded")</f>
        <v/>
      </c>
      <c r="K28" s="45">
        <f>IFERROR(Sales_Transactions!O12/Sales_Transactions!M12, 0)</f>
        <v/>
      </c>
    </row>
    <row r="29">
      <c r="A29" s="33" t="n">
        <v>12</v>
      </c>
      <c r="B29" s="33">
        <f>Sales_Transactions!A13</f>
        <v/>
      </c>
      <c r="C29" s="34">
        <f>Sales_Transactions!C13</f>
        <v/>
      </c>
      <c r="D29" s="20">
        <f>Sales_Transactions!M13</f>
        <v/>
      </c>
      <c r="E29" s="33">
        <f>Sales_Transactions!Q13</f>
        <v/>
      </c>
      <c r="F29" s="33">
        <f>IF(Sales_Transactions!M13&gt;=5000, "High Value", "Standard")</f>
        <v/>
      </c>
      <c r="G29" s="33">
        <f>IF(Sales_Transactions!M13&gt;=25000, "Tier 1", IF(Sales_Transactions!M13&gt;=10000, "Tier 2", IF(Sales_Transactions!M13&gt;=3000, "Tier 3", "Tier 4")))</f>
        <v/>
      </c>
      <c r="H29" s="33">
        <f>IF(AND(Sales_Transactions!M13&gt;=5000, Sales_Transactions!Q13="Delivered"), "Bonus", "No")</f>
        <v/>
      </c>
      <c r="I29" s="33">
        <f>IF(OR(Sales_Transactions!D13="North", Sales_Transactions!D13="South"), "Priority", "Standard")</f>
        <v/>
      </c>
      <c r="J29" s="33">
        <f>IF(NOT(Sales_Transactions!Q13="Cancelled"), "Valid", "Excluded")</f>
        <v/>
      </c>
      <c r="K29" s="46">
        <f>IFERROR(Sales_Transactions!O13/Sales_Transactions!M13, 0)</f>
        <v/>
      </c>
    </row>
    <row r="30">
      <c r="A30" s="29" t="n">
        <v>13</v>
      </c>
      <c r="B30" s="29">
        <f>Sales_Transactions!A14</f>
        <v/>
      </c>
      <c r="C30" s="30">
        <f>Sales_Transactions!C14</f>
        <v/>
      </c>
      <c r="D30" s="16">
        <f>Sales_Transactions!M14</f>
        <v/>
      </c>
      <c r="E30" s="29">
        <f>Sales_Transactions!Q14</f>
        <v/>
      </c>
      <c r="F30" s="29">
        <f>IF(Sales_Transactions!M14&gt;=5000, "High Value", "Standard")</f>
        <v/>
      </c>
      <c r="G30" s="29">
        <f>IF(Sales_Transactions!M14&gt;=25000, "Tier 1", IF(Sales_Transactions!M14&gt;=10000, "Tier 2", IF(Sales_Transactions!M14&gt;=3000, "Tier 3", "Tier 4")))</f>
        <v/>
      </c>
      <c r="H30" s="29">
        <f>IF(AND(Sales_Transactions!M14&gt;=5000, Sales_Transactions!Q14="Delivered"), "Bonus", "No")</f>
        <v/>
      </c>
      <c r="I30" s="29">
        <f>IF(OR(Sales_Transactions!D14="North", Sales_Transactions!D14="South"), "Priority", "Standard")</f>
        <v/>
      </c>
      <c r="J30" s="29">
        <f>IF(NOT(Sales_Transactions!Q14="Cancelled"), "Valid", "Excluded")</f>
        <v/>
      </c>
      <c r="K30" s="45">
        <f>IFERROR(Sales_Transactions!O14/Sales_Transactions!M14, 0)</f>
        <v/>
      </c>
    </row>
    <row r="31">
      <c r="A31" s="33" t="n">
        <v>14</v>
      </c>
      <c r="B31" s="33">
        <f>Sales_Transactions!A15</f>
        <v/>
      </c>
      <c r="C31" s="34">
        <f>Sales_Transactions!C15</f>
        <v/>
      </c>
      <c r="D31" s="20">
        <f>Sales_Transactions!M15</f>
        <v/>
      </c>
      <c r="E31" s="33">
        <f>Sales_Transactions!Q15</f>
        <v/>
      </c>
      <c r="F31" s="33">
        <f>IF(Sales_Transactions!M15&gt;=5000, "High Value", "Standard")</f>
        <v/>
      </c>
      <c r="G31" s="33">
        <f>IF(Sales_Transactions!M15&gt;=25000, "Tier 1", IF(Sales_Transactions!M15&gt;=10000, "Tier 2", IF(Sales_Transactions!M15&gt;=3000, "Tier 3", "Tier 4")))</f>
        <v/>
      </c>
      <c r="H31" s="33">
        <f>IF(AND(Sales_Transactions!M15&gt;=5000, Sales_Transactions!Q15="Delivered"), "Bonus", "No")</f>
        <v/>
      </c>
      <c r="I31" s="33">
        <f>IF(OR(Sales_Transactions!D15="North", Sales_Transactions!D15="South"), "Priority", "Standard")</f>
        <v/>
      </c>
      <c r="J31" s="33">
        <f>IF(NOT(Sales_Transactions!Q15="Cancelled"), "Valid", "Excluded")</f>
        <v/>
      </c>
      <c r="K31" s="46">
        <f>IFERROR(Sales_Transactions!O15/Sales_Transactions!M15, 0)</f>
        <v/>
      </c>
    </row>
    <row r="32">
      <c r="A32" s="29" t="n">
        <v>15</v>
      </c>
      <c r="B32" s="29">
        <f>Sales_Transactions!A16</f>
        <v/>
      </c>
      <c r="C32" s="30">
        <f>Sales_Transactions!C16</f>
        <v/>
      </c>
      <c r="D32" s="16">
        <f>Sales_Transactions!M16</f>
        <v/>
      </c>
      <c r="E32" s="29">
        <f>Sales_Transactions!Q16</f>
        <v/>
      </c>
      <c r="F32" s="29">
        <f>IF(Sales_Transactions!M16&gt;=5000, "High Value", "Standard")</f>
        <v/>
      </c>
      <c r="G32" s="29">
        <f>IF(Sales_Transactions!M16&gt;=25000, "Tier 1", IF(Sales_Transactions!M16&gt;=10000, "Tier 2", IF(Sales_Transactions!M16&gt;=3000, "Tier 3", "Tier 4")))</f>
        <v/>
      </c>
      <c r="H32" s="29">
        <f>IF(AND(Sales_Transactions!M16&gt;=5000, Sales_Transactions!Q16="Delivered"), "Bonus", "No")</f>
        <v/>
      </c>
      <c r="I32" s="29">
        <f>IF(OR(Sales_Transactions!D16="North", Sales_Transactions!D16="South"), "Priority", "Standard")</f>
        <v/>
      </c>
      <c r="J32" s="29">
        <f>IF(NOT(Sales_Transactions!Q16="Cancelled"), "Valid", "Excluded")</f>
        <v/>
      </c>
      <c r="K32" s="45">
        <f>IFERROR(Sales_Transactions!O16/Sales_Transactions!M16, 0)</f>
        <v/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 xml:space="preserve">   EXCEL PIVOT TABLE CROSS-TABULATION MATRIX (CATEGORY X REGION)</t>
        </is>
      </c>
    </row>
    <row r="2"/>
    <row r="3">
      <c r="A3" s="47" t="inlineStr">
        <is>
          <t>Table 1: Net Revenue Cross-Tabulation Matrix (INR)</t>
        </is>
      </c>
    </row>
    <row r="4">
      <c r="A4" s="12" t="inlineStr">
        <is>
          <t>Category</t>
        </is>
      </c>
      <c r="B4" s="13" t="inlineStr">
        <is>
          <t>Central</t>
        </is>
      </c>
      <c r="C4" s="13" t="inlineStr">
        <is>
          <t>East</t>
        </is>
      </c>
      <c r="D4" s="13" t="inlineStr">
        <is>
          <t>North</t>
        </is>
      </c>
      <c r="E4" s="13" t="inlineStr">
        <is>
          <t>South</t>
        </is>
      </c>
      <c r="F4" s="13" t="inlineStr">
        <is>
          <t>West</t>
        </is>
      </c>
      <c r="G4" s="13" t="inlineStr">
        <is>
          <t>Total Revenue</t>
        </is>
      </c>
    </row>
    <row r="5">
      <c r="A5" s="48" t="inlineStr">
        <is>
          <t>Electronics</t>
        </is>
      </c>
      <c r="B5" s="20">
        <f>SUMIFS(Sales_Transactions!M:M, Sales_Transactions!G:G, "Electronics", Sales_Transactions!D:D, "Central", Sales_Transactions!Q:Q, "&lt;&gt;Cancelled")</f>
        <v/>
      </c>
      <c r="C5" s="20">
        <f>SUMIFS(Sales_Transactions!M:M, Sales_Transactions!G:G, "Electronics", Sales_Transactions!D:D, "East", Sales_Transactions!Q:Q, "&lt;&gt;Cancelled")</f>
        <v/>
      </c>
      <c r="D5" s="20">
        <f>SUMIFS(Sales_Transactions!M:M, Sales_Transactions!G:G, "Electronics", Sales_Transactions!D:D, "North", Sales_Transactions!Q:Q, "&lt;&gt;Cancelled")</f>
        <v/>
      </c>
      <c r="E5" s="20">
        <f>SUMIFS(Sales_Transactions!M:M, Sales_Transactions!G:G, "Electronics", Sales_Transactions!D:D, "South", Sales_Transactions!Q:Q, "&lt;&gt;Cancelled")</f>
        <v/>
      </c>
      <c r="F5" s="20">
        <f>SUMIFS(Sales_Transactions!M:M, Sales_Transactions!G:G, "Electronics", Sales_Transactions!D:D, "West", Sales_Transactions!Q:Q, "&lt;&gt;Cancelled")</f>
        <v/>
      </c>
      <c r="G5" s="49">
        <f>SUM(B5:F5)</f>
        <v/>
      </c>
    </row>
    <row r="6">
      <c r="A6" s="48" t="inlineStr">
        <is>
          <t>Fashion</t>
        </is>
      </c>
      <c r="B6" s="16">
        <f>SUMIFS(Sales_Transactions!M:M, Sales_Transactions!G:G, "Fashion", Sales_Transactions!D:D, "Central", Sales_Transactions!Q:Q, "&lt;&gt;Cancelled")</f>
        <v/>
      </c>
      <c r="C6" s="16">
        <f>SUMIFS(Sales_Transactions!M:M, Sales_Transactions!G:G, "Fashion", Sales_Transactions!D:D, "East", Sales_Transactions!Q:Q, "&lt;&gt;Cancelled")</f>
        <v/>
      </c>
      <c r="D6" s="16">
        <f>SUMIFS(Sales_Transactions!M:M, Sales_Transactions!G:G, "Fashion", Sales_Transactions!D:D, "North", Sales_Transactions!Q:Q, "&lt;&gt;Cancelled")</f>
        <v/>
      </c>
      <c r="E6" s="16">
        <f>SUMIFS(Sales_Transactions!M:M, Sales_Transactions!G:G, "Fashion", Sales_Transactions!D:D, "South", Sales_Transactions!Q:Q, "&lt;&gt;Cancelled")</f>
        <v/>
      </c>
      <c r="F6" s="16">
        <f>SUMIFS(Sales_Transactions!M:M, Sales_Transactions!G:G, "Fashion", Sales_Transactions!D:D, "West", Sales_Transactions!Q:Q, "&lt;&gt;Cancelled")</f>
        <v/>
      </c>
      <c r="G6" s="49">
        <f>SUM(B6:F6)</f>
        <v/>
      </c>
    </row>
    <row r="7">
      <c r="A7" s="48" t="inlineStr">
        <is>
          <t>Groceries</t>
        </is>
      </c>
      <c r="B7" s="20">
        <f>SUMIFS(Sales_Transactions!M:M, Sales_Transactions!G:G, "Groceries", Sales_Transactions!D:D, "Central", Sales_Transactions!Q:Q, "&lt;&gt;Cancelled")</f>
        <v/>
      </c>
      <c r="C7" s="20">
        <f>SUMIFS(Sales_Transactions!M:M, Sales_Transactions!G:G, "Groceries", Sales_Transactions!D:D, "East", Sales_Transactions!Q:Q, "&lt;&gt;Cancelled")</f>
        <v/>
      </c>
      <c r="D7" s="20">
        <f>SUMIFS(Sales_Transactions!M:M, Sales_Transactions!G:G, "Groceries", Sales_Transactions!D:D, "North", Sales_Transactions!Q:Q, "&lt;&gt;Cancelled")</f>
        <v/>
      </c>
      <c r="E7" s="20">
        <f>SUMIFS(Sales_Transactions!M:M, Sales_Transactions!G:G, "Groceries", Sales_Transactions!D:D, "South", Sales_Transactions!Q:Q, "&lt;&gt;Cancelled")</f>
        <v/>
      </c>
      <c r="F7" s="20">
        <f>SUMIFS(Sales_Transactions!M:M, Sales_Transactions!G:G, "Groceries", Sales_Transactions!D:D, "West", Sales_Transactions!Q:Q, "&lt;&gt;Cancelled")</f>
        <v/>
      </c>
      <c r="G7" s="49">
        <f>SUM(B7:F7)</f>
        <v/>
      </c>
    </row>
    <row r="8">
      <c r="A8" s="48" t="inlineStr">
        <is>
          <t>Home &amp; Living</t>
        </is>
      </c>
      <c r="B8" s="16">
        <f>SUMIFS(Sales_Transactions!M:M, Sales_Transactions!G:G, "Home &amp; Living", Sales_Transactions!D:D, "Central", Sales_Transactions!Q:Q, "&lt;&gt;Cancelled")</f>
        <v/>
      </c>
      <c r="C8" s="16">
        <f>SUMIFS(Sales_Transactions!M:M, Sales_Transactions!G:G, "Home &amp; Living", Sales_Transactions!D:D, "East", Sales_Transactions!Q:Q, "&lt;&gt;Cancelled")</f>
        <v/>
      </c>
      <c r="D8" s="16">
        <f>SUMIFS(Sales_Transactions!M:M, Sales_Transactions!G:G, "Home &amp; Living", Sales_Transactions!D:D, "North", Sales_Transactions!Q:Q, "&lt;&gt;Cancelled")</f>
        <v/>
      </c>
      <c r="E8" s="16">
        <f>SUMIFS(Sales_Transactions!M:M, Sales_Transactions!G:G, "Home &amp; Living", Sales_Transactions!D:D, "South", Sales_Transactions!Q:Q, "&lt;&gt;Cancelled")</f>
        <v/>
      </c>
      <c r="F8" s="16">
        <f>SUMIFS(Sales_Transactions!M:M, Sales_Transactions!G:G, "Home &amp; Living", Sales_Transactions!D:D, "West", Sales_Transactions!Q:Q, "&lt;&gt;Cancelled")</f>
        <v/>
      </c>
      <c r="G8" s="49">
        <f>SUM(B8:F8)</f>
        <v/>
      </c>
    </row>
    <row r="9">
      <c r="A9" s="48" t="inlineStr">
        <is>
          <t>Sports</t>
        </is>
      </c>
      <c r="B9" s="20">
        <f>SUMIFS(Sales_Transactions!M:M, Sales_Transactions!G:G, "Sports", Sales_Transactions!D:D, "Central", Sales_Transactions!Q:Q, "&lt;&gt;Cancelled")</f>
        <v/>
      </c>
      <c r="C9" s="20">
        <f>SUMIFS(Sales_Transactions!M:M, Sales_Transactions!G:G, "Sports", Sales_Transactions!D:D, "East", Sales_Transactions!Q:Q, "&lt;&gt;Cancelled")</f>
        <v/>
      </c>
      <c r="D9" s="20">
        <f>SUMIFS(Sales_Transactions!M:M, Sales_Transactions!G:G, "Sports", Sales_Transactions!D:D, "North", Sales_Transactions!Q:Q, "&lt;&gt;Cancelled")</f>
        <v/>
      </c>
      <c r="E9" s="20">
        <f>SUMIFS(Sales_Transactions!M:M, Sales_Transactions!G:G, "Sports", Sales_Transactions!D:D, "South", Sales_Transactions!Q:Q, "&lt;&gt;Cancelled")</f>
        <v/>
      </c>
      <c r="F9" s="20">
        <f>SUMIFS(Sales_Transactions!M:M, Sales_Transactions!G:G, "Sports", Sales_Transactions!D:D, "West", Sales_Transactions!Q:Q, "&lt;&gt;Cancelled")</f>
        <v/>
      </c>
      <c r="G9" s="49">
        <f>SUM(B9:F9)</f>
        <v/>
      </c>
    </row>
    <row r="10">
      <c r="A10" s="48" t="inlineStr">
        <is>
          <t>Grand Total</t>
        </is>
      </c>
      <c r="B10" s="24">
        <f>SUM(B5:B9)</f>
        <v/>
      </c>
      <c r="C10" s="24">
        <f>SUM(C5:C9)</f>
        <v/>
      </c>
      <c r="D10" s="24">
        <f>SUM(D5:D9)</f>
        <v/>
      </c>
      <c r="E10" s="24">
        <f>SUM(E5:E9)</f>
        <v/>
      </c>
      <c r="F10" s="24">
        <f>SUM(F5:F9)</f>
        <v/>
      </c>
      <c r="G10" s="50">
        <f>SUM(G5:G9)</f>
        <v/>
      </c>
    </row>
    <row r="13">
      <c r="A13" s="47" t="inlineStr">
        <is>
          <t>Table 2: Gross Profit Cross-Tabulation Matrix (INR)</t>
        </is>
      </c>
    </row>
    <row r="14">
      <c r="A14" s="26" t="inlineStr">
        <is>
          <t>Category</t>
        </is>
      </c>
      <c r="B14" s="27" t="inlineStr">
        <is>
          <t>Central</t>
        </is>
      </c>
      <c r="C14" s="27" t="inlineStr">
        <is>
          <t>East</t>
        </is>
      </c>
      <c r="D14" s="27" t="inlineStr">
        <is>
          <t>North</t>
        </is>
      </c>
      <c r="E14" s="27" t="inlineStr">
        <is>
          <t>South</t>
        </is>
      </c>
      <c r="F14" s="27" t="inlineStr">
        <is>
          <t>West</t>
        </is>
      </c>
      <c r="G14" s="27" t="inlineStr">
        <is>
          <t>Total Profit</t>
        </is>
      </c>
    </row>
    <row r="15">
      <c r="A15" s="48" t="inlineStr">
        <is>
          <t>Electronics</t>
        </is>
      </c>
      <c r="B15" s="20">
        <f>SUMIFS(Sales_Transactions!O:O, Sales_Transactions!G:G, "Electronics", Sales_Transactions!D:D, "Central", Sales_Transactions!Q:Q, "&lt;&gt;Cancelled")</f>
        <v/>
      </c>
      <c r="C15" s="20">
        <f>SUMIFS(Sales_Transactions!O:O, Sales_Transactions!G:G, "Electronics", Sales_Transactions!D:D, "East", Sales_Transactions!Q:Q, "&lt;&gt;Cancelled")</f>
        <v/>
      </c>
      <c r="D15" s="20">
        <f>SUMIFS(Sales_Transactions!O:O, Sales_Transactions!G:G, "Electronics", Sales_Transactions!D:D, "North", Sales_Transactions!Q:Q, "&lt;&gt;Cancelled")</f>
        <v/>
      </c>
      <c r="E15" s="20">
        <f>SUMIFS(Sales_Transactions!O:O, Sales_Transactions!G:G, "Electronics", Sales_Transactions!D:D, "South", Sales_Transactions!Q:Q, "&lt;&gt;Cancelled")</f>
        <v/>
      </c>
      <c r="F15" s="20">
        <f>SUMIFS(Sales_Transactions!O:O, Sales_Transactions!G:G, "Electronics", Sales_Transactions!D:D, "West", Sales_Transactions!Q:Q, "&lt;&gt;Cancelled")</f>
        <v/>
      </c>
      <c r="G15" s="49">
        <f>SUM(B15:F15)</f>
        <v/>
      </c>
    </row>
    <row r="16">
      <c r="A16" s="48" t="inlineStr">
        <is>
          <t>Fashion</t>
        </is>
      </c>
      <c r="B16" s="16">
        <f>SUMIFS(Sales_Transactions!O:O, Sales_Transactions!G:G, "Fashion", Sales_Transactions!D:D, "Central", Sales_Transactions!Q:Q, "&lt;&gt;Cancelled")</f>
        <v/>
      </c>
      <c r="C16" s="16">
        <f>SUMIFS(Sales_Transactions!O:O, Sales_Transactions!G:G, "Fashion", Sales_Transactions!D:D, "East", Sales_Transactions!Q:Q, "&lt;&gt;Cancelled")</f>
        <v/>
      </c>
      <c r="D16" s="16">
        <f>SUMIFS(Sales_Transactions!O:O, Sales_Transactions!G:G, "Fashion", Sales_Transactions!D:D, "North", Sales_Transactions!Q:Q, "&lt;&gt;Cancelled")</f>
        <v/>
      </c>
      <c r="E16" s="16">
        <f>SUMIFS(Sales_Transactions!O:O, Sales_Transactions!G:G, "Fashion", Sales_Transactions!D:D, "South", Sales_Transactions!Q:Q, "&lt;&gt;Cancelled")</f>
        <v/>
      </c>
      <c r="F16" s="16">
        <f>SUMIFS(Sales_Transactions!O:O, Sales_Transactions!G:G, "Fashion", Sales_Transactions!D:D, "West", Sales_Transactions!Q:Q, "&lt;&gt;Cancelled")</f>
        <v/>
      </c>
      <c r="G16" s="49">
        <f>SUM(B16:F16)</f>
        <v/>
      </c>
    </row>
    <row r="17">
      <c r="A17" s="48" t="inlineStr">
        <is>
          <t>Groceries</t>
        </is>
      </c>
      <c r="B17" s="20">
        <f>SUMIFS(Sales_Transactions!O:O, Sales_Transactions!G:G, "Groceries", Sales_Transactions!D:D, "Central", Sales_Transactions!Q:Q, "&lt;&gt;Cancelled")</f>
        <v/>
      </c>
      <c r="C17" s="20">
        <f>SUMIFS(Sales_Transactions!O:O, Sales_Transactions!G:G, "Groceries", Sales_Transactions!D:D, "East", Sales_Transactions!Q:Q, "&lt;&gt;Cancelled")</f>
        <v/>
      </c>
      <c r="D17" s="20">
        <f>SUMIFS(Sales_Transactions!O:O, Sales_Transactions!G:G, "Groceries", Sales_Transactions!D:D, "North", Sales_Transactions!Q:Q, "&lt;&gt;Cancelled")</f>
        <v/>
      </c>
      <c r="E17" s="20">
        <f>SUMIFS(Sales_Transactions!O:O, Sales_Transactions!G:G, "Groceries", Sales_Transactions!D:D, "South", Sales_Transactions!Q:Q, "&lt;&gt;Cancelled")</f>
        <v/>
      </c>
      <c r="F17" s="20">
        <f>SUMIFS(Sales_Transactions!O:O, Sales_Transactions!G:G, "Groceries", Sales_Transactions!D:D, "West", Sales_Transactions!Q:Q, "&lt;&gt;Cancelled")</f>
        <v/>
      </c>
      <c r="G17" s="49">
        <f>SUM(B17:F17)</f>
        <v/>
      </c>
    </row>
    <row r="18">
      <c r="A18" s="48" t="inlineStr">
        <is>
          <t>Home &amp; Living</t>
        </is>
      </c>
      <c r="B18" s="16">
        <f>SUMIFS(Sales_Transactions!O:O, Sales_Transactions!G:G, "Home &amp; Living", Sales_Transactions!D:D, "Central", Sales_Transactions!Q:Q, "&lt;&gt;Cancelled")</f>
        <v/>
      </c>
      <c r="C18" s="16">
        <f>SUMIFS(Sales_Transactions!O:O, Sales_Transactions!G:G, "Home &amp; Living", Sales_Transactions!D:D, "East", Sales_Transactions!Q:Q, "&lt;&gt;Cancelled")</f>
        <v/>
      </c>
      <c r="D18" s="16">
        <f>SUMIFS(Sales_Transactions!O:O, Sales_Transactions!G:G, "Home &amp; Living", Sales_Transactions!D:D, "North", Sales_Transactions!Q:Q, "&lt;&gt;Cancelled")</f>
        <v/>
      </c>
      <c r="E18" s="16">
        <f>SUMIFS(Sales_Transactions!O:O, Sales_Transactions!G:G, "Home &amp; Living", Sales_Transactions!D:D, "South", Sales_Transactions!Q:Q, "&lt;&gt;Cancelled")</f>
        <v/>
      </c>
      <c r="F18" s="16">
        <f>SUMIFS(Sales_Transactions!O:O, Sales_Transactions!G:G, "Home &amp; Living", Sales_Transactions!D:D, "West", Sales_Transactions!Q:Q, "&lt;&gt;Cancelled")</f>
        <v/>
      </c>
      <c r="G18" s="49">
        <f>SUM(B18:F18)</f>
        <v/>
      </c>
    </row>
    <row r="19">
      <c r="A19" s="48" t="inlineStr">
        <is>
          <t>Sports</t>
        </is>
      </c>
      <c r="B19" s="20">
        <f>SUMIFS(Sales_Transactions!O:O, Sales_Transactions!G:G, "Sports", Sales_Transactions!D:D, "Central", Sales_Transactions!Q:Q, "&lt;&gt;Cancelled")</f>
        <v/>
      </c>
      <c r="C19" s="20">
        <f>SUMIFS(Sales_Transactions!O:O, Sales_Transactions!G:G, "Sports", Sales_Transactions!D:D, "East", Sales_Transactions!Q:Q, "&lt;&gt;Cancelled")</f>
        <v/>
      </c>
      <c r="D19" s="20">
        <f>SUMIFS(Sales_Transactions!O:O, Sales_Transactions!G:G, "Sports", Sales_Transactions!D:D, "North", Sales_Transactions!Q:Q, "&lt;&gt;Cancelled")</f>
        <v/>
      </c>
      <c r="E19" s="20">
        <f>SUMIFS(Sales_Transactions!O:O, Sales_Transactions!G:G, "Sports", Sales_Transactions!D:D, "South", Sales_Transactions!Q:Q, "&lt;&gt;Cancelled")</f>
        <v/>
      </c>
      <c r="F19" s="20">
        <f>SUMIFS(Sales_Transactions!O:O, Sales_Transactions!G:G, "Sports", Sales_Transactions!D:D, "West", Sales_Transactions!Q:Q, "&lt;&gt;Cancelled")</f>
        <v/>
      </c>
      <c r="G19" s="49">
        <f>SUM(B19:F19)</f>
        <v/>
      </c>
    </row>
    <row r="20">
      <c r="A20" s="48" t="inlineStr">
        <is>
          <t>Grand Total</t>
        </is>
      </c>
      <c r="B20" s="24">
        <f>SUM(B15:B19)</f>
        <v/>
      </c>
      <c r="C20" s="24">
        <f>SUM(C15:C19)</f>
        <v/>
      </c>
      <c r="D20" s="24">
        <f>SUM(D15:D19)</f>
        <v/>
      </c>
      <c r="E20" s="24">
        <f>SUM(E15:E19)</f>
        <v/>
      </c>
      <c r="F20" s="24">
        <f>SUM(F15:F19)</f>
        <v/>
      </c>
      <c r="G20" s="50">
        <f>SUM(G15:G19)</f>
        <v/>
      </c>
    </row>
  </sheetData>
  <mergeCells count="1"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6" customWidth="1" min="4" max="4"/>
    <col width="14" customWidth="1" min="5" max="5"/>
    <col width="22" customWidth="1" min="6" max="6"/>
    <col width="18" customWidth="1" min="7" max="7"/>
    <col width="18" customWidth="1" min="8" max="8"/>
  </cols>
  <sheetData>
    <row r="1">
      <c r="A1" s="1" t="inlineStr">
        <is>
          <t xml:space="preserve">   CUSTOMER LIFETIME VALUE (CLV) &amp; SEGMENTATION DIRECTORY</t>
        </is>
      </c>
    </row>
    <row r="2"/>
    <row r="4">
      <c r="A4" s="13" t="inlineStr">
        <is>
          <t>Customer ID</t>
        </is>
      </c>
      <c r="B4" s="12" t="inlineStr">
        <is>
          <t>Customer Name</t>
        </is>
      </c>
      <c r="C4" s="12" t="inlineStr">
        <is>
          <t>City</t>
        </is>
      </c>
      <c r="D4" s="13" t="inlineStr">
        <is>
          <t>Region</t>
        </is>
      </c>
      <c r="E4" s="13" t="inlineStr">
        <is>
          <t>Total Orders</t>
        </is>
      </c>
      <c r="F4" s="12" t="inlineStr">
        <is>
          <t>Lifetime Spend (INR)</t>
        </is>
      </c>
      <c r="G4" s="13" t="inlineStr">
        <is>
          <t>Last Order Date</t>
        </is>
      </c>
      <c r="H4" s="13" t="inlineStr">
        <is>
          <t>Loyalty Tier</t>
        </is>
      </c>
    </row>
    <row r="5">
      <c r="A5" s="51" t="n">
        <v>1</v>
      </c>
      <c r="B5" s="52" t="inlineStr">
        <is>
          <t>Pooja Sharma</t>
        </is>
      </c>
      <c r="C5" s="52" t="inlineStr">
        <is>
          <t>Pune</t>
        </is>
      </c>
      <c r="D5" s="51" t="inlineStr">
        <is>
          <t>West</t>
        </is>
      </c>
      <c r="E5" s="53">
        <f>COUNTIFS(Sales_Transactions!C:C, "Pooja Sharma", Sales_Transactions!Q:Q, "&lt;&gt;Cancelled")</f>
        <v/>
      </c>
      <c r="F5" s="54">
        <f>SUMIFS(Sales_Transactions!M:M, Sales_Transactions!C:C, "Pooja Sharma", Sales_Transactions!Q:Q, "&lt;&gt;Cancelled")</f>
        <v/>
      </c>
      <c r="G5" s="51">
        <f>IF(E5=0, "Never Purchased", "Active Customer")</f>
        <v/>
      </c>
      <c r="H5" s="37">
        <f>IF(E5=0, "Inactive", IF(F5&gt;=50000, "Platinum", IF(F5&gt;=20000, "Gold", IF(F5&gt;=5000, "Silver", "Bronze"))))</f>
        <v/>
      </c>
    </row>
    <row r="6">
      <c r="A6" s="55" t="n">
        <v>2</v>
      </c>
      <c r="B6" s="56" t="inlineStr">
        <is>
          <t>Amit Iyer</t>
        </is>
      </c>
      <c r="C6" s="56" t="inlineStr">
        <is>
          <t>Bhopal</t>
        </is>
      </c>
      <c r="D6" s="55" t="inlineStr">
        <is>
          <t>Central</t>
        </is>
      </c>
      <c r="E6" s="57">
        <f>COUNTIFS(Sales_Transactions!C:C, "Amit Iyer", Sales_Transactions!Q:Q, "&lt;&gt;Cancelled")</f>
        <v/>
      </c>
      <c r="F6" s="58">
        <f>SUMIFS(Sales_Transactions!M:M, Sales_Transactions!C:C, "Amit Iyer", Sales_Transactions!Q:Q, "&lt;&gt;Cancelled")</f>
        <v/>
      </c>
      <c r="G6" s="55">
        <f>IF(E6=0, "Never Purchased", "Active Customer")</f>
        <v/>
      </c>
      <c r="H6" s="39">
        <f>IF(E6=0, "Inactive", IF(F6&gt;=50000, "Platinum", IF(F6&gt;=20000, "Gold", IF(F6&gt;=5000, "Silver", "Bronze"))))</f>
        <v/>
      </c>
    </row>
    <row r="7">
      <c r="A7" s="51" t="n">
        <v>3</v>
      </c>
      <c r="B7" s="52" t="inlineStr">
        <is>
          <t>Rohit Sharma</t>
        </is>
      </c>
      <c r="C7" s="52" t="inlineStr">
        <is>
          <t>Noida</t>
        </is>
      </c>
      <c r="D7" s="51" t="inlineStr">
        <is>
          <t>North</t>
        </is>
      </c>
      <c r="E7" s="53">
        <f>COUNTIFS(Sales_Transactions!C:C, "Rohit Sharma", Sales_Transactions!Q:Q, "&lt;&gt;Cancelled")</f>
        <v/>
      </c>
      <c r="F7" s="54">
        <f>SUMIFS(Sales_Transactions!M:M, Sales_Transactions!C:C, "Rohit Sharma", Sales_Transactions!Q:Q, "&lt;&gt;Cancelled")</f>
        <v/>
      </c>
      <c r="G7" s="51">
        <f>IF(E7=0, "Never Purchased", "Active Customer")</f>
        <v/>
      </c>
      <c r="H7" s="37">
        <f>IF(E7=0, "Inactive", IF(F7&gt;=50000, "Platinum", IF(F7&gt;=20000, "Gold", IF(F7&gt;=5000, "Silver", "Bronze"))))</f>
        <v/>
      </c>
    </row>
    <row r="8">
      <c r="A8" s="55" t="n">
        <v>4</v>
      </c>
      <c r="B8" s="56" t="inlineStr">
        <is>
          <t>Rhea Kulkarni</t>
        </is>
      </c>
      <c r="C8" s="56" t="inlineStr">
        <is>
          <t>Jaipur</t>
        </is>
      </c>
      <c r="D8" s="55" t="inlineStr">
        <is>
          <t>North</t>
        </is>
      </c>
      <c r="E8" s="57">
        <f>COUNTIFS(Sales_Transactions!C:C, "Rhea Kulkarni", Sales_Transactions!Q:Q, "&lt;&gt;Cancelled")</f>
        <v/>
      </c>
      <c r="F8" s="58">
        <f>SUMIFS(Sales_Transactions!M:M, Sales_Transactions!C:C, "Rhea Kulkarni", Sales_Transactions!Q:Q, "&lt;&gt;Cancelled")</f>
        <v/>
      </c>
      <c r="G8" s="55">
        <f>IF(E8=0, "Never Purchased", "Active Customer")</f>
        <v/>
      </c>
      <c r="H8" s="39">
        <f>IF(E8=0, "Inactive", IF(F8&gt;=50000, "Platinum", IF(F8&gt;=20000, "Gold", IF(F8&gt;=5000, "Silver", "Bronze"))))</f>
        <v/>
      </c>
    </row>
    <row r="9">
      <c r="A9" s="51" t="n">
        <v>5</v>
      </c>
      <c r="B9" s="52" t="inlineStr">
        <is>
          <t>Nandini Joshi</t>
        </is>
      </c>
      <c r="C9" s="52" t="inlineStr">
        <is>
          <t>Kochi</t>
        </is>
      </c>
      <c r="D9" s="51" t="inlineStr">
        <is>
          <t>South</t>
        </is>
      </c>
      <c r="E9" s="53">
        <f>COUNTIFS(Sales_Transactions!C:C, "Nandini Joshi", Sales_Transactions!Q:Q, "&lt;&gt;Cancelled")</f>
        <v/>
      </c>
      <c r="F9" s="54">
        <f>SUMIFS(Sales_Transactions!M:M, Sales_Transactions!C:C, "Nandini Joshi", Sales_Transactions!Q:Q, "&lt;&gt;Cancelled")</f>
        <v/>
      </c>
      <c r="G9" s="51">
        <f>IF(E9=0, "Never Purchased", "Active Customer")</f>
        <v/>
      </c>
      <c r="H9" s="37">
        <f>IF(E9=0, "Inactive", IF(F9&gt;=50000, "Platinum", IF(F9&gt;=20000, "Gold", IF(F9&gt;=5000, "Silver", "Bronze"))))</f>
        <v/>
      </c>
    </row>
    <row r="10">
      <c r="A10" s="55" t="n">
        <v>6</v>
      </c>
      <c r="B10" s="56" t="inlineStr">
        <is>
          <t>Aarav Rao</t>
        </is>
      </c>
      <c r="C10" s="56" t="inlineStr">
        <is>
          <t>Patna</t>
        </is>
      </c>
      <c r="D10" s="55" t="inlineStr">
        <is>
          <t>East</t>
        </is>
      </c>
      <c r="E10" s="57">
        <f>COUNTIFS(Sales_Transactions!C:C, "Aarav Rao", Sales_Transactions!Q:Q, "&lt;&gt;Cancelled")</f>
        <v/>
      </c>
      <c r="F10" s="58">
        <f>SUMIFS(Sales_Transactions!M:M, Sales_Transactions!C:C, "Aarav Rao", Sales_Transactions!Q:Q, "&lt;&gt;Cancelled")</f>
        <v/>
      </c>
      <c r="G10" s="55">
        <f>IF(E10=0, "Never Purchased", "Active Customer")</f>
        <v/>
      </c>
      <c r="H10" s="39">
        <f>IF(E10=0, "Inactive", IF(F10&gt;=50000, "Platinum", IF(F10&gt;=20000, "Gold", IF(F10&gt;=5000, "Silver", "Bronze"))))</f>
        <v/>
      </c>
    </row>
    <row r="11">
      <c r="A11" s="51" t="n">
        <v>7</v>
      </c>
      <c r="B11" s="52" t="inlineStr">
        <is>
          <t>Kavita Nair</t>
        </is>
      </c>
      <c r="C11" s="52" t="inlineStr">
        <is>
          <t>Mumbai</t>
        </is>
      </c>
      <c r="D11" s="51" t="inlineStr">
        <is>
          <t>West</t>
        </is>
      </c>
      <c r="E11" s="53">
        <f>COUNTIFS(Sales_Transactions!C:C, "Kavita Nair", Sales_Transactions!Q:Q, "&lt;&gt;Cancelled")</f>
        <v/>
      </c>
      <c r="F11" s="54">
        <f>SUMIFS(Sales_Transactions!M:M, Sales_Transactions!C:C, "Kavita Nair", Sales_Transactions!Q:Q, "&lt;&gt;Cancelled")</f>
        <v/>
      </c>
      <c r="G11" s="51">
        <f>IF(E11=0, "Never Purchased", "Active Customer")</f>
        <v/>
      </c>
      <c r="H11" s="37">
        <f>IF(E11=0, "Inactive", IF(F11&gt;=50000, "Platinum", IF(F11&gt;=20000, "Gold", IF(F11&gt;=5000, "Silver", "Bronze"))))</f>
        <v/>
      </c>
    </row>
    <row r="12">
      <c r="A12" s="55" t="n">
        <v>8</v>
      </c>
      <c r="B12" s="56" t="inlineStr">
        <is>
          <t>Gaurav Iyer</t>
        </is>
      </c>
      <c r="C12" s="56" t="inlineStr">
        <is>
          <t>Ahmedabad</t>
        </is>
      </c>
      <c r="D12" s="55" t="inlineStr">
        <is>
          <t>West</t>
        </is>
      </c>
      <c r="E12" s="57">
        <f>COUNTIFS(Sales_Transactions!C:C, "Gaurav Iyer", Sales_Transactions!Q:Q, "&lt;&gt;Cancelled")</f>
        <v/>
      </c>
      <c r="F12" s="58">
        <f>SUMIFS(Sales_Transactions!M:M, Sales_Transactions!C:C, "Gaurav Iyer", Sales_Transactions!Q:Q, "&lt;&gt;Cancelled")</f>
        <v/>
      </c>
      <c r="G12" s="55">
        <f>IF(E12=0, "Never Purchased", "Active Customer")</f>
        <v/>
      </c>
      <c r="H12" s="39">
        <f>IF(E12=0, "Inactive", IF(F12&gt;=50000, "Platinum", IF(F12&gt;=20000, "Gold", IF(F12&gt;=5000, "Silver", "Bronze"))))</f>
        <v/>
      </c>
    </row>
    <row r="13">
      <c r="A13" s="51" t="n">
        <v>9</v>
      </c>
      <c r="B13" s="52" t="inlineStr">
        <is>
          <t>Rohit Bhat</t>
        </is>
      </c>
      <c r="C13" s="52" t="inlineStr">
        <is>
          <t>Bhopal</t>
        </is>
      </c>
      <c r="D13" s="51" t="inlineStr">
        <is>
          <t>Central</t>
        </is>
      </c>
      <c r="E13" s="53">
        <f>COUNTIFS(Sales_Transactions!C:C, "Rohit Bhat", Sales_Transactions!Q:Q, "&lt;&gt;Cancelled")</f>
        <v/>
      </c>
      <c r="F13" s="54">
        <f>SUMIFS(Sales_Transactions!M:M, Sales_Transactions!C:C, "Rohit Bhat", Sales_Transactions!Q:Q, "&lt;&gt;Cancelled")</f>
        <v/>
      </c>
      <c r="G13" s="51">
        <f>IF(E13=0, "Never Purchased", "Active Customer")</f>
        <v/>
      </c>
      <c r="H13" s="37">
        <f>IF(E13=0, "Inactive", IF(F13&gt;=50000, "Platinum", IF(F13&gt;=20000, "Gold", IF(F13&gt;=5000, "Silver", "Bronze"))))</f>
        <v/>
      </c>
    </row>
    <row r="14">
      <c r="A14" s="55" t="n">
        <v>10</v>
      </c>
      <c r="B14" s="56" t="inlineStr">
        <is>
          <t>Sneha Saxena</t>
        </is>
      </c>
      <c r="C14" s="56" t="inlineStr">
        <is>
          <t>Nagpur</t>
        </is>
      </c>
      <c r="D14" s="55" t="inlineStr">
        <is>
          <t>West</t>
        </is>
      </c>
      <c r="E14" s="57">
        <f>COUNTIFS(Sales_Transactions!C:C, "Sneha Saxena", Sales_Transactions!Q:Q, "&lt;&gt;Cancelled")</f>
        <v/>
      </c>
      <c r="F14" s="58">
        <f>SUMIFS(Sales_Transactions!M:M, Sales_Transactions!C:C, "Sneha Saxena", Sales_Transactions!Q:Q, "&lt;&gt;Cancelled")</f>
        <v/>
      </c>
      <c r="G14" s="55">
        <f>IF(E14=0, "Never Purchased", "Active Customer")</f>
        <v/>
      </c>
      <c r="H14" s="39">
        <f>IF(E14=0, "Inactive", IF(F14&gt;=50000, "Platinum", IF(F14&gt;=20000, "Gold", IF(F14&gt;=5000, "Silver", "Bronze"))))</f>
        <v/>
      </c>
    </row>
    <row r="15">
      <c r="A15" s="51" t="n">
        <v>11</v>
      </c>
      <c r="B15" s="52" t="inlineStr">
        <is>
          <t>Bhavna Nair</t>
        </is>
      </c>
      <c r="C15" s="52" t="inlineStr">
        <is>
          <t>Delhi</t>
        </is>
      </c>
      <c r="D15" s="51" t="inlineStr">
        <is>
          <t>North</t>
        </is>
      </c>
      <c r="E15" s="53">
        <f>COUNTIFS(Sales_Transactions!C:C, "Bhavna Nair", Sales_Transactions!Q:Q, "&lt;&gt;Cancelled")</f>
        <v/>
      </c>
      <c r="F15" s="54">
        <f>SUMIFS(Sales_Transactions!M:M, Sales_Transactions!C:C, "Bhavna Nair", Sales_Transactions!Q:Q, "&lt;&gt;Cancelled")</f>
        <v/>
      </c>
      <c r="G15" s="51">
        <f>IF(E15=0, "Never Purchased", "Active Customer")</f>
        <v/>
      </c>
      <c r="H15" s="37">
        <f>IF(E15=0, "Inactive", IF(F15&gt;=50000, "Platinum", IF(F15&gt;=20000, "Gold", IF(F15&gt;=5000, "Silver", "Bronze"))))</f>
        <v/>
      </c>
    </row>
    <row r="16">
      <c r="A16" s="55" t="n">
        <v>12</v>
      </c>
      <c r="B16" s="56" t="inlineStr">
        <is>
          <t>Aditya Verma</t>
        </is>
      </c>
      <c r="C16" s="56" t="inlineStr">
        <is>
          <t>Bengaluru</t>
        </is>
      </c>
      <c r="D16" s="55" t="inlineStr">
        <is>
          <t>South</t>
        </is>
      </c>
      <c r="E16" s="57">
        <f>COUNTIFS(Sales_Transactions!C:C, "Aditya Verma", Sales_Transactions!Q:Q, "&lt;&gt;Cancelled")</f>
        <v/>
      </c>
      <c r="F16" s="58">
        <f>SUMIFS(Sales_Transactions!M:M, Sales_Transactions!C:C, "Aditya Verma", Sales_Transactions!Q:Q, "&lt;&gt;Cancelled")</f>
        <v/>
      </c>
      <c r="G16" s="55">
        <f>IF(E16=0, "Never Purchased", "Active Customer")</f>
        <v/>
      </c>
      <c r="H16" s="39">
        <f>IF(E16=0, "Inactive", IF(F16&gt;=50000, "Platinum", IF(F16&gt;=20000, "Gold", IF(F16&gt;=5000, "Silver", "Bronze"))))</f>
        <v/>
      </c>
    </row>
    <row r="17">
      <c r="A17" s="51" t="n">
        <v>13</v>
      </c>
      <c r="B17" s="52" t="inlineStr">
        <is>
          <t>Meera Bhat</t>
        </is>
      </c>
      <c r="C17" s="52" t="inlineStr">
        <is>
          <t>Pune</t>
        </is>
      </c>
      <c r="D17" s="51" t="inlineStr">
        <is>
          <t>West</t>
        </is>
      </c>
      <c r="E17" s="53">
        <f>COUNTIFS(Sales_Transactions!C:C, "Meera Bhat", Sales_Transactions!Q:Q, "&lt;&gt;Cancelled")</f>
        <v/>
      </c>
      <c r="F17" s="54">
        <f>SUMIFS(Sales_Transactions!M:M, Sales_Transactions!C:C, "Meera Bhat", Sales_Transactions!Q:Q, "&lt;&gt;Cancelled")</f>
        <v/>
      </c>
      <c r="G17" s="51">
        <f>IF(E17=0, "Never Purchased", "Active Customer")</f>
        <v/>
      </c>
      <c r="H17" s="37">
        <f>IF(E17=0, "Inactive", IF(F17&gt;=50000, "Platinum", IF(F17&gt;=20000, "Gold", IF(F17&gt;=5000, "Silver", "Bronze"))))</f>
        <v/>
      </c>
    </row>
    <row r="18">
      <c r="A18" s="55" t="n">
        <v>14</v>
      </c>
      <c r="B18" s="56" t="inlineStr">
        <is>
          <t>Sunil Nair</t>
        </is>
      </c>
      <c r="C18" s="56" t="inlineStr">
        <is>
          <t>Mumbai</t>
        </is>
      </c>
      <c r="D18" s="55" t="inlineStr">
        <is>
          <t>West</t>
        </is>
      </c>
      <c r="E18" s="57">
        <f>COUNTIFS(Sales_Transactions!C:C, "Sunil Nair", Sales_Transactions!Q:Q, "&lt;&gt;Cancelled")</f>
        <v/>
      </c>
      <c r="F18" s="58">
        <f>SUMIFS(Sales_Transactions!M:M, Sales_Transactions!C:C, "Sunil Nair", Sales_Transactions!Q:Q, "&lt;&gt;Cancelled")</f>
        <v/>
      </c>
      <c r="G18" s="55">
        <f>IF(E18=0, "Never Purchased", "Active Customer")</f>
        <v/>
      </c>
      <c r="H18" s="39">
        <f>IF(E18=0, "Inactive", IF(F18&gt;=50000, "Platinum", IF(F18&gt;=20000, "Gold", IF(F18&gt;=5000, "Silver", "Bronze"))))</f>
        <v/>
      </c>
    </row>
    <row r="19">
      <c r="A19" s="51" t="n">
        <v>15</v>
      </c>
      <c r="B19" s="52" t="inlineStr">
        <is>
          <t>Nandini Gupta</t>
        </is>
      </c>
      <c r="C19" s="52" t="inlineStr">
        <is>
          <t>Kochi</t>
        </is>
      </c>
      <c r="D19" s="51" t="inlineStr">
        <is>
          <t>South</t>
        </is>
      </c>
      <c r="E19" s="53">
        <f>COUNTIFS(Sales_Transactions!C:C, "Nandini Gupta", Sales_Transactions!Q:Q, "&lt;&gt;Cancelled")</f>
        <v/>
      </c>
      <c r="F19" s="54">
        <f>SUMIFS(Sales_Transactions!M:M, Sales_Transactions!C:C, "Nandini Gupta", Sales_Transactions!Q:Q, "&lt;&gt;Cancelled")</f>
        <v/>
      </c>
      <c r="G19" s="51">
        <f>IF(E19=0, "Never Purchased", "Active Customer")</f>
        <v/>
      </c>
      <c r="H19" s="37">
        <f>IF(E19=0, "Inactive", IF(F19&gt;=50000, "Platinum", IF(F19&gt;=20000, "Gold", IF(F19&gt;=5000, "Silver", "Bronze"))))</f>
        <v/>
      </c>
    </row>
    <row r="20">
      <c r="A20" s="55" t="n">
        <v>16</v>
      </c>
      <c r="B20" s="56" t="inlineStr">
        <is>
          <t>Meera Saxena</t>
        </is>
      </c>
      <c r="C20" s="56" t="inlineStr">
        <is>
          <t>Hyderabad</t>
        </is>
      </c>
      <c r="D20" s="55" t="inlineStr">
        <is>
          <t>South</t>
        </is>
      </c>
      <c r="E20" s="57">
        <f>COUNTIFS(Sales_Transactions!C:C, "Meera Saxena", Sales_Transactions!Q:Q, "&lt;&gt;Cancelled")</f>
        <v/>
      </c>
      <c r="F20" s="58">
        <f>SUMIFS(Sales_Transactions!M:M, Sales_Transactions!C:C, "Meera Saxena", Sales_Transactions!Q:Q, "&lt;&gt;Cancelled")</f>
        <v/>
      </c>
      <c r="G20" s="55">
        <f>IF(E20=0, "Never Purchased", "Active Customer")</f>
        <v/>
      </c>
      <c r="H20" s="39">
        <f>IF(E20=0, "Inactive", IF(F20&gt;=50000, "Platinum", IF(F20&gt;=20000, "Gold", IF(F20&gt;=5000, "Silver", "Bronze"))))</f>
        <v/>
      </c>
    </row>
    <row r="21">
      <c r="A21" s="51" t="n">
        <v>17</v>
      </c>
      <c r="B21" s="52" t="inlineStr">
        <is>
          <t>Manoj Patel</t>
        </is>
      </c>
      <c r="C21" s="52" t="inlineStr">
        <is>
          <t>Surat</t>
        </is>
      </c>
      <c r="D21" s="51" t="inlineStr">
        <is>
          <t>West</t>
        </is>
      </c>
      <c r="E21" s="53">
        <f>COUNTIFS(Sales_Transactions!C:C, "Manoj Patel", Sales_Transactions!Q:Q, "&lt;&gt;Cancelled")</f>
        <v/>
      </c>
      <c r="F21" s="54">
        <f>SUMIFS(Sales_Transactions!M:M, Sales_Transactions!C:C, "Manoj Patel", Sales_Transactions!Q:Q, "&lt;&gt;Cancelled")</f>
        <v/>
      </c>
      <c r="G21" s="51">
        <f>IF(E21=0, "Never Purchased", "Active Customer")</f>
        <v/>
      </c>
      <c r="H21" s="37">
        <f>IF(E21=0, "Inactive", IF(F21&gt;=50000, "Platinum", IF(F21&gt;=20000, "Gold", IF(F21&gt;=5000, "Silver", "Bronze"))))</f>
        <v/>
      </c>
    </row>
    <row r="22">
      <c r="A22" s="55" t="n">
        <v>18</v>
      </c>
      <c r="B22" s="56" t="inlineStr">
        <is>
          <t>Vikram Nair</t>
        </is>
      </c>
      <c r="C22" s="56" t="inlineStr">
        <is>
          <t>Raipur</t>
        </is>
      </c>
      <c r="D22" s="55" t="inlineStr">
        <is>
          <t>Central</t>
        </is>
      </c>
      <c r="E22" s="57">
        <f>COUNTIFS(Sales_Transactions!C:C, "Vikram Nair", Sales_Transactions!Q:Q, "&lt;&gt;Cancelled")</f>
        <v/>
      </c>
      <c r="F22" s="58">
        <f>SUMIFS(Sales_Transactions!M:M, Sales_Transactions!C:C, "Vikram Nair", Sales_Transactions!Q:Q, "&lt;&gt;Cancelled")</f>
        <v/>
      </c>
      <c r="G22" s="55">
        <f>IF(E22=0, "Never Purchased", "Active Customer")</f>
        <v/>
      </c>
      <c r="H22" s="39">
        <f>IF(E22=0, "Inactive", IF(F22&gt;=50000, "Platinum", IF(F22&gt;=20000, "Gold", IF(F22&gt;=5000, "Silver", "Bronze"))))</f>
        <v/>
      </c>
    </row>
    <row r="23">
      <c r="A23" s="51" t="n">
        <v>19</v>
      </c>
      <c r="B23" s="52" t="inlineStr">
        <is>
          <t>Ishaan Banerjee</t>
        </is>
      </c>
      <c r="C23" s="52" t="inlineStr">
        <is>
          <t>Bhubaneswar</t>
        </is>
      </c>
      <c r="D23" s="51" t="inlineStr">
        <is>
          <t>East</t>
        </is>
      </c>
      <c r="E23" s="53">
        <f>COUNTIFS(Sales_Transactions!C:C, "Ishaan Banerjee", Sales_Transactions!Q:Q, "&lt;&gt;Cancelled")</f>
        <v/>
      </c>
      <c r="F23" s="54">
        <f>SUMIFS(Sales_Transactions!M:M, Sales_Transactions!C:C, "Ishaan Banerjee", Sales_Transactions!Q:Q, "&lt;&gt;Cancelled")</f>
        <v/>
      </c>
      <c r="G23" s="51">
        <f>IF(E23=0, "Never Purchased", "Active Customer")</f>
        <v/>
      </c>
      <c r="H23" s="37">
        <f>IF(E23=0, "Inactive", IF(F23&gt;=50000, "Platinum", IF(F23&gt;=20000, "Gold", IF(F23&gt;=5000, "Silver", "Bronze"))))</f>
        <v/>
      </c>
    </row>
    <row r="24">
      <c r="A24" s="55" t="n">
        <v>20</v>
      </c>
      <c r="B24" s="56" t="inlineStr">
        <is>
          <t>Amit Gupta</t>
        </is>
      </c>
      <c r="C24" s="56" t="inlineStr">
        <is>
          <t>Gwalior</t>
        </is>
      </c>
      <c r="D24" s="55" t="inlineStr">
        <is>
          <t>Central</t>
        </is>
      </c>
      <c r="E24" s="57">
        <f>COUNTIFS(Sales_Transactions!C:C, "Amit Gupta", Sales_Transactions!Q:Q, "&lt;&gt;Cancelled")</f>
        <v/>
      </c>
      <c r="F24" s="58">
        <f>SUMIFS(Sales_Transactions!M:M, Sales_Transactions!C:C, "Amit Gupta", Sales_Transactions!Q:Q, "&lt;&gt;Cancelled")</f>
        <v/>
      </c>
      <c r="G24" s="55">
        <f>IF(E24=0, "Never Purchased", "Active Customer")</f>
        <v/>
      </c>
      <c r="H24" s="39">
        <f>IF(E24=0, "Inactive", IF(F24&gt;=50000, "Platinum", IF(F24&gt;=20000, "Gold", IF(F24&gt;=5000, "Silver", "Bronze"))))</f>
        <v/>
      </c>
    </row>
    <row r="25">
      <c r="A25" s="51" t="n">
        <v>21</v>
      </c>
      <c r="B25" s="52" t="inlineStr">
        <is>
          <t>Kiran Joshi</t>
        </is>
      </c>
      <c r="C25" s="52" t="inlineStr">
        <is>
          <t>Jabalpur</t>
        </is>
      </c>
      <c r="D25" s="51" t="inlineStr">
        <is>
          <t>Central</t>
        </is>
      </c>
      <c r="E25" s="53">
        <f>COUNTIFS(Sales_Transactions!C:C, "Kiran Joshi", Sales_Transactions!Q:Q, "&lt;&gt;Cancelled")</f>
        <v/>
      </c>
      <c r="F25" s="54">
        <f>SUMIFS(Sales_Transactions!M:M, Sales_Transactions!C:C, "Kiran Joshi", Sales_Transactions!Q:Q, "&lt;&gt;Cancelled")</f>
        <v/>
      </c>
      <c r="G25" s="51">
        <f>IF(E25=0, "Never Purchased", "Active Customer")</f>
        <v/>
      </c>
      <c r="H25" s="37">
        <f>IF(E25=0, "Inactive", IF(F25&gt;=50000, "Platinum", IF(F25&gt;=20000, "Gold", IF(F25&gt;=5000, "Silver", "Bronze"))))</f>
        <v/>
      </c>
    </row>
    <row r="26">
      <c r="A26" s="55" t="n">
        <v>22</v>
      </c>
      <c r="B26" s="56" t="inlineStr">
        <is>
          <t>Manoj Singh</t>
        </is>
      </c>
      <c r="C26" s="56" t="inlineStr">
        <is>
          <t>Jabalpur</t>
        </is>
      </c>
      <c r="D26" s="55" t="inlineStr">
        <is>
          <t>Central</t>
        </is>
      </c>
      <c r="E26" s="57">
        <f>COUNTIFS(Sales_Transactions!C:C, "Manoj Singh", Sales_Transactions!Q:Q, "&lt;&gt;Cancelled")</f>
        <v/>
      </c>
      <c r="F26" s="58">
        <f>SUMIFS(Sales_Transactions!M:M, Sales_Transactions!C:C, "Manoj Singh", Sales_Transactions!Q:Q, "&lt;&gt;Cancelled")</f>
        <v/>
      </c>
      <c r="G26" s="55">
        <f>IF(E26=0, "Never Purchased", "Active Customer")</f>
        <v/>
      </c>
      <c r="H26" s="39">
        <f>IF(E26=0, "Inactive", IF(F26&gt;=50000, "Platinum", IF(F26&gt;=20000, "Gold", IF(F26&gt;=5000, "Silver", "Bronze"))))</f>
        <v/>
      </c>
    </row>
    <row r="27">
      <c r="A27" s="51" t="n">
        <v>23</v>
      </c>
      <c r="B27" s="52" t="inlineStr">
        <is>
          <t>Ananya Iyer</t>
        </is>
      </c>
      <c r="C27" s="52" t="inlineStr">
        <is>
          <t>Chennai</t>
        </is>
      </c>
      <c r="D27" s="51" t="inlineStr">
        <is>
          <t>South</t>
        </is>
      </c>
      <c r="E27" s="53">
        <f>COUNTIFS(Sales_Transactions!C:C, "Ananya Iyer", Sales_Transactions!Q:Q, "&lt;&gt;Cancelled")</f>
        <v/>
      </c>
      <c r="F27" s="54">
        <f>SUMIFS(Sales_Transactions!M:M, Sales_Transactions!C:C, "Ananya Iyer", Sales_Transactions!Q:Q, "&lt;&gt;Cancelled")</f>
        <v/>
      </c>
      <c r="G27" s="51">
        <f>IF(E27=0, "Never Purchased", "Active Customer")</f>
        <v/>
      </c>
      <c r="H27" s="37">
        <f>IF(E27=0, "Inactive", IF(F27&gt;=50000, "Platinum", IF(F27&gt;=20000, "Gold", IF(F27&gt;=5000, "Silver", "Bronze"))))</f>
        <v/>
      </c>
    </row>
    <row r="28">
      <c r="A28" s="55" t="n">
        <v>24</v>
      </c>
      <c r="B28" s="56" t="inlineStr">
        <is>
          <t>Vidya Verma</t>
        </is>
      </c>
      <c r="C28" s="56" t="inlineStr">
        <is>
          <t>Ranchi</t>
        </is>
      </c>
      <c r="D28" s="55" t="inlineStr">
        <is>
          <t>East</t>
        </is>
      </c>
      <c r="E28" s="57">
        <f>COUNTIFS(Sales_Transactions!C:C, "Vidya Verma", Sales_Transactions!Q:Q, "&lt;&gt;Cancelled")</f>
        <v/>
      </c>
      <c r="F28" s="58">
        <f>SUMIFS(Sales_Transactions!M:M, Sales_Transactions!C:C, "Vidya Verma", Sales_Transactions!Q:Q, "&lt;&gt;Cancelled")</f>
        <v/>
      </c>
      <c r="G28" s="55">
        <f>IF(E28=0, "Never Purchased", "Active Customer")</f>
        <v/>
      </c>
      <c r="H28" s="39">
        <f>IF(E28=0, "Inactive", IF(F28&gt;=50000, "Platinum", IF(F28&gt;=20000, "Gold", IF(F28&gt;=5000, "Silver", "Bronze"))))</f>
        <v/>
      </c>
    </row>
    <row r="29">
      <c r="A29" s="51" t="n">
        <v>25</v>
      </c>
      <c r="B29" s="52" t="inlineStr">
        <is>
          <t>Alok Deshmukh</t>
        </is>
      </c>
      <c r="C29" s="52" t="inlineStr">
        <is>
          <t>Bhopal</t>
        </is>
      </c>
      <c r="D29" s="51" t="inlineStr">
        <is>
          <t>Central</t>
        </is>
      </c>
      <c r="E29" s="53">
        <f>COUNTIFS(Sales_Transactions!C:C, "Alok Deshmukh", Sales_Transactions!Q:Q, "&lt;&gt;Cancelled")</f>
        <v/>
      </c>
      <c r="F29" s="54">
        <f>SUMIFS(Sales_Transactions!M:M, Sales_Transactions!C:C, "Alok Deshmukh", Sales_Transactions!Q:Q, "&lt;&gt;Cancelled")</f>
        <v/>
      </c>
      <c r="G29" s="51">
        <f>IF(E29=0, "Never Purchased", "Active Customer")</f>
        <v/>
      </c>
      <c r="H29" s="37">
        <f>IF(E29=0, "Inactive", IF(F29&gt;=50000, "Platinum", IF(F29&gt;=20000, "Gold", IF(F29&gt;=5000, "Silver", "Bronze"))))</f>
        <v/>
      </c>
    </row>
    <row r="30">
      <c r="A30" s="55" t="n">
        <v>26</v>
      </c>
      <c r="B30" s="56" t="inlineStr">
        <is>
          <t>Nandini Deshmukh</t>
        </is>
      </c>
      <c r="C30" s="56" t="inlineStr">
        <is>
          <t>Mumbai</t>
        </is>
      </c>
      <c r="D30" s="55" t="inlineStr">
        <is>
          <t>West</t>
        </is>
      </c>
      <c r="E30" s="57">
        <f>COUNTIFS(Sales_Transactions!C:C, "Nandini Deshmukh", Sales_Transactions!Q:Q, "&lt;&gt;Cancelled")</f>
        <v/>
      </c>
      <c r="F30" s="58">
        <f>SUMIFS(Sales_Transactions!M:M, Sales_Transactions!C:C, "Nandini Deshmukh", Sales_Transactions!Q:Q, "&lt;&gt;Cancelled")</f>
        <v/>
      </c>
      <c r="G30" s="55">
        <f>IF(E30=0, "Never Purchased", "Active Customer")</f>
        <v/>
      </c>
      <c r="H30" s="39">
        <f>IF(E30=0, "Inactive", IF(F30&gt;=50000, "Platinum", IF(F30&gt;=20000, "Gold", IF(F30&gt;=5000, "Silver", "Bronze"))))</f>
        <v/>
      </c>
    </row>
    <row r="31">
      <c r="A31" s="51" t="n">
        <v>27</v>
      </c>
      <c r="B31" s="52" t="inlineStr">
        <is>
          <t>Anjali Rao</t>
        </is>
      </c>
      <c r="C31" s="52" t="inlineStr">
        <is>
          <t>Kolkata</t>
        </is>
      </c>
      <c r="D31" s="51" t="inlineStr">
        <is>
          <t>East</t>
        </is>
      </c>
      <c r="E31" s="53">
        <f>COUNTIFS(Sales_Transactions!C:C, "Anjali Rao", Sales_Transactions!Q:Q, "&lt;&gt;Cancelled")</f>
        <v/>
      </c>
      <c r="F31" s="54">
        <f>SUMIFS(Sales_Transactions!M:M, Sales_Transactions!C:C, "Anjali Rao", Sales_Transactions!Q:Q, "&lt;&gt;Cancelled")</f>
        <v/>
      </c>
      <c r="G31" s="51">
        <f>IF(E31=0, "Never Purchased", "Active Customer")</f>
        <v/>
      </c>
      <c r="H31" s="37">
        <f>IF(E31=0, "Inactive", IF(F31&gt;=50000, "Platinum", IF(F31&gt;=20000, "Gold", IF(F31&gt;=5000, "Silver", "Bronze"))))</f>
        <v/>
      </c>
    </row>
    <row r="32">
      <c r="A32" s="55" t="n">
        <v>28</v>
      </c>
      <c r="B32" s="56" t="inlineStr">
        <is>
          <t>Rhea Rao</t>
        </is>
      </c>
      <c r="C32" s="56" t="inlineStr">
        <is>
          <t>Bhopal</t>
        </is>
      </c>
      <c r="D32" s="55" t="inlineStr">
        <is>
          <t>Central</t>
        </is>
      </c>
      <c r="E32" s="57">
        <f>COUNTIFS(Sales_Transactions!C:C, "Rhea Rao", Sales_Transactions!Q:Q, "&lt;&gt;Cancelled")</f>
        <v/>
      </c>
      <c r="F32" s="58">
        <f>SUMIFS(Sales_Transactions!M:M, Sales_Transactions!C:C, "Rhea Rao", Sales_Transactions!Q:Q, "&lt;&gt;Cancelled")</f>
        <v/>
      </c>
      <c r="G32" s="55">
        <f>IF(E32=0, "Never Purchased", "Active Customer")</f>
        <v/>
      </c>
      <c r="H32" s="39">
        <f>IF(E32=0, "Inactive", IF(F32&gt;=50000, "Platinum", IF(F32&gt;=20000, "Gold", IF(F32&gt;=5000, "Silver", "Bronze"))))</f>
        <v/>
      </c>
    </row>
    <row r="33">
      <c r="A33" s="51" t="n">
        <v>29</v>
      </c>
      <c r="B33" s="52" t="inlineStr">
        <is>
          <t>Rhea Kulkarni</t>
        </is>
      </c>
      <c r="C33" s="52" t="inlineStr">
        <is>
          <t>Chennai</t>
        </is>
      </c>
      <c r="D33" s="51" t="inlineStr">
        <is>
          <t>South</t>
        </is>
      </c>
      <c r="E33" s="53">
        <f>COUNTIFS(Sales_Transactions!C:C, "Rhea Kulkarni", Sales_Transactions!Q:Q, "&lt;&gt;Cancelled")</f>
        <v/>
      </c>
      <c r="F33" s="54">
        <f>SUMIFS(Sales_Transactions!M:M, Sales_Transactions!C:C, "Rhea Kulkarni", Sales_Transactions!Q:Q, "&lt;&gt;Cancelled")</f>
        <v/>
      </c>
      <c r="G33" s="51">
        <f>IF(E33=0, "Never Purchased", "Active Customer")</f>
        <v/>
      </c>
      <c r="H33" s="37">
        <f>IF(E33=0, "Inactive", IF(F33&gt;=50000, "Platinum", IF(F33&gt;=20000, "Gold", IF(F33&gt;=5000, "Silver", "Bronze"))))</f>
        <v/>
      </c>
    </row>
    <row r="34">
      <c r="A34" s="55" t="n">
        <v>30</v>
      </c>
      <c r="B34" s="56" t="inlineStr">
        <is>
          <t>Suresh Saxena</t>
        </is>
      </c>
      <c r="C34" s="56" t="inlineStr">
        <is>
          <t>Bhopal</t>
        </is>
      </c>
      <c r="D34" s="55" t="inlineStr">
        <is>
          <t>Central</t>
        </is>
      </c>
      <c r="E34" s="57">
        <f>COUNTIFS(Sales_Transactions!C:C, "Suresh Saxena", Sales_Transactions!Q:Q, "&lt;&gt;Cancelled")</f>
        <v/>
      </c>
      <c r="F34" s="58">
        <f>SUMIFS(Sales_Transactions!M:M, Sales_Transactions!C:C, "Suresh Saxena", Sales_Transactions!Q:Q, "&lt;&gt;Cancelled")</f>
        <v/>
      </c>
      <c r="G34" s="55">
        <f>IF(E34=0, "Never Purchased", "Active Customer")</f>
        <v/>
      </c>
      <c r="H34" s="39">
        <f>IF(E34=0, "Inactive", IF(F34&gt;=50000, "Platinum", IF(F34&gt;=20000, "Gold", IF(F34&gt;=5000, "Silver", "Bronze"))))</f>
        <v/>
      </c>
    </row>
    <row r="35">
      <c r="A35" s="51" t="n">
        <v>31</v>
      </c>
      <c r="B35" s="52" t="inlineStr">
        <is>
          <t>Ishaan Sharma</t>
        </is>
      </c>
      <c r="C35" s="52" t="inlineStr">
        <is>
          <t>Gurgaon</t>
        </is>
      </c>
      <c r="D35" s="51" t="inlineStr">
        <is>
          <t>North</t>
        </is>
      </c>
      <c r="E35" s="53">
        <f>COUNTIFS(Sales_Transactions!C:C, "Ishaan Sharma", Sales_Transactions!Q:Q, "&lt;&gt;Cancelled")</f>
        <v/>
      </c>
      <c r="F35" s="54">
        <f>SUMIFS(Sales_Transactions!M:M, Sales_Transactions!C:C, "Ishaan Sharma", Sales_Transactions!Q:Q, "&lt;&gt;Cancelled")</f>
        <v/>
      </c>
      <c r="G35" s="51">
        <f>IF(E35=0, "Never Purchased", "Active Customer")</f>
        <v/>
      </c>
      <c r="H35" s="37">
        <f>IF(E35=0, "Inactive", IF(F35&gt;=50000, "Platinum", IF(F35&gt;=20000, "Gold", IF(F35&gt;=5000, "Silver", "Bronze"))))</f>
        <v/>
      </c>
    </row>
    <row r="36">
      <c r="A36" s="55" t="n">
        <v>32</v>
      </c>
      <c r="B36" s="56" t="inlineStr">
        <is>
          <t>Shreya Patel</t>
        </is>
      </c>
      <c r="C36" s="56" t="inlineStr">
        <is>
          <t>Coimbatore</t>
        </is>
      </c>
      <c r="D36" s="55" t="inlineStr">
        <is>
          <t>South</t>
        </is>
      </c>
      <c r="E36" s="57">
        <f>COUNTIFS(Sales_Transactions!C:C, "Shreya Patel", Sales_Transactions!Q:Q, "&lt;&gt;Cancelled")</f>
        <v/>
      </c>
      <c r="F36" s="58">
        <f>SUMIFS(Sales_Transactions!M:M, Sales_Transactions!C:C, "Shreya Patel", Sales_Transactions!Q:Q, "&lt;&gt;Cancelled")</f>
        <v/>
      </c>
      <c r="G36" s="55">
        <f>IF(E36=0, "Never Purchased", "Active Customer")</f>
        <v/>
      </c>
      <c r="H36" s="39">
        <f>IF(E36=0, "Inactive", IF(F36&gt;=50000, "Platinum", IF(F36&gt;=20000, "Gold", IF(F36&gt;=5000, "Silver", "Bronze"))))</f>
        <v/>
      </c>
    </row>
    <row r="37">
      <c r="A37" s="51" t="n">
        <v>33</v>
      </c>
      <c r="B37" s="52" t="inlineStr">
        <is>
          <t>Sneha Kapoor</t>
        </is>
      </c>
      <c r="C37" s="52" t="inlineStr">
        <is>
          <t>Jaipur</t>
        </is>
      </c>
      <c r="D37" s="51" t="inlineStr">
        <is>
          <t>North</t>
        </is>
      </c>
      <c r="E37" s="53">
        <f>COUNTIFS(Sales_Transactions!C:C, "Sneha Kapoor", Sales_Transactions!Q:Q, "&lt;&gt;Cancelled")</f>
        <v/>
      </c>
      <c r="F37" s="54">
        <f>SUMIFS(Sales_Transactions!M:M, Sales_Transactions!C:C, "Sneha Kapoor", Sales_Transactions!Q:Q, "&lt;&gt;Cancelled")</f>
        <v/>
      </c>
      <c r="G37" s="51">
        <f>IF(E37=0, "Never Purchased", "Active Customer")</f>
        <v/>
      </c>
      <c r="H37" s="37">
        <f>IF(E37=0, "Inactive", IF(F37&gt;=50000, "Platinum", IF(F37&gt;=20000, "Gold", IF(F37&gt;=5000, "Silver", "Bronze"))))</f>
        <v/>
      </c>
    </row>
    <row r="38">
      <c r="A38" s="55" t="n">
        <v>34</v>
      </c>
      <c r="B38" s="56" t="inlineStr">
        <is>
          <t>Amit Kapoor</t>
        </is>
      </c>
      <c r="C38" s="56" t="inlineStr">
        <is>
          <t>Indore</t>
        </is>
      </c>
      <c r="D38" s="55" t="inlineStr">
        <is>
          <t>Central</t>
        </is>
      </c>
      <c r="E38" s="57">
        <f>COUNTIFS(Sales_Transactions!C:C, "Amit Kapoor", Sales_Transactions!Q:Q, "&lt;&gt;Cancelled")</f>
        <v/>
      </c>
      <c r="F38" s="58">
        <f>SUMIFS(Sales_Transactions!M:M, Sales_Transactions!C:C, "Amit Kapoor", Sales_Transactions!Q:Q, "&lt;&gt;Cancelled")</f>
        <v/>
      </c>
      <c r="G38" s="55">
        <f>IF(E38=0, "Never Purchased", "Active Customer")</f>
        <v/>
      </c>
      <c r="H38" s="39">
        <f>IF(E38=0, "Inactive", IF(F38&gt;=50000, "Platinum", IF(F38&gt;=20000, "Gold", IF(F38&gt;=5000, "Silver", "Bronze"))))</f>
        <v/>
      </c>
    </row>
    <row r="39">
      <c r="A39" s="51" t="n">
        <v>35</v>
      </c>
      <c r="B39" s="52" t="inlineStr">
        <is>
          <t>Alok Kulkarni</t>
        </is>
      </c>
      <c r="C39" s="52" t="inlineStr">
        <is>
          <t>Bhubaneswar</t>
        </is>
      </c>
      <c r="D39" s="51" t="inlineStr">
        <is>
          <t>East</t>
        </is>
      </c>
      <c r="E39" s="53">
        <f>COUNTIFS(Sales_Transactions!C:C, "Alok Kulkarni", Sales_Transactions!Q:Q, "&lt;&gt;Cancelled")</f>
        <v/>
      </c>
      <c r="F39" s="54">
        <f>SUMIFS(Sales_Transactions!M:M, Sales_Transactions!C:C, "Alok Kulkarni", Sales_Transactions!Q:Q, "&lt;&gt;Cancelled")</f>
        <v/>
      </c>
      <c r="G39" s="51">
        <f>IF(E39=0, "Never Purchased", "Active Customer")</f>
        <v/>
      </c>
      <c r="H39" s="37">
        <f>IF(E39=0, "Inactive", IF(F39&gt;=50000, "Platinum", IF(F39&gt;=20000, "Gold", IF(F39&gt;=5000, "Silver", "Bronze"))))</f>
        <v/>
      </c>
    </row>
    <row r="40">
      <c r="A40" s="55" t="n">
        <v>36</v>
      </c>
      <c r="B40" s="56" t="inlineStr">
        <is>
          <t>Arjun Choudhury</t>
        </is>
      </c>
      <c r="C40" s="56" t="inlineStr">
        <is>
          <t>Patna</t>
        </is>
      </c>
      <c r="D40" s="55" t="inlineStr">
        <is>
          <t>East</t>
        </is>
      </c>
      <c r="E40" s="57">
        <f>COUNTIFS(Sales_Transactions!C:C, "Arjun Choudhury", Sales_Transactions!Q:Q, "&lt;&gt;Cancelled")</f>
        <v/>
      </c>
      <c r="F40" s="58">
        <f>SUMIFS(Sales_Transactions!M:M, Sales_Transactions!C:C, "Arjun Choudhury", Sales_Transactions!Q:Q, "&lt;&gt;Cancelled")</f>
        <v/>
      </c>
      <c r="G40" s="55">
        <f>IF(E40=0, "Never Purchased", "Active Customer")</f>
        <v/>
      </c>
      <c r="H40" s="39">
        <f>IF(E40=0, "Inactive", IF(F40&gt;=50000, "Platinum", IF(F40&gt;=20000, "Gold", IF(F40&gt;=5000, "Silver", "Bronze"))))</f>
        <v/>
      </c>
    </row>
    <row r="41">
      <c r="A41" s="51" t="n">
        <v>37</v>
      </c>
      <c r="B41" s="52" t="inlineStr">
        <is>
          <t>Alok Bhat</t>
        </is>
      </c>
      <c r="C41" s="52" t="inlineStr">
        <is>
          <t>Noida</t>
        </is>
      </c>
      <c r="D41" s="51" t="inlineStr">
        <is>
          <t>North</t>
        </is>
      </c>
      <c r="E41" s="53">
        <f>COUNTIFS(Sales_Transactions!C:C, "Alok Bhat", Sales_Transactions!Q:Q, "&lt;&gt;Cancelled")</f>
        <v/>
      </c>
      <c r="F41" s="54">
        <f>SUMIFS(Sales_Transactions!M:M, Sales_Transactions!C:C, "Alok Bhat", Sales_Transactions!Q:Q, "&lt;&gt;Cancelled")</f>
        <v/>
      </c>
      <c r="G41" s="51">
        <f>IF(E41=0, "Never Purchased", "Active Customer")</f>
        <v/>
      </c>
      <c r="H41" s="37">
        <f>IF(E41=0, "Inactive", IF(F41&gt;=50000, "Platinum", IF(F41&gt;=20000, "Gold", IF(F41&gt;=5000, "Silver", "Bronze"))))</f>
        <v/>
      </c>
    </row>
    <row r="42">
      <c r="A42" s="55" t="n">
        <v>38</v>
      </c>
      <c r="B42" s="56" t="inlineStr">
        <is>
          <t>Vikram Reddy</t>
        </is>
      </c>
      <c r="C42" s="56" t="inlineStr">
        <is>
          <t>Jaipur</t>
        </is>
      </c>
      <c r="D42" s="55" t="inlineStr">
        <is>
          <t>North</t>
        </is>
      </c>
      <c r="E42" s="57">
        <f>COUNTIFS(Sales_Transactions!C:C, "Vikram Reddy", Sales_Transactions!Q:Q, "&lt;&gt;Cancelled")</f>
        <v/>
      </c>
      <c r="F42" s="58">
        <f>SUMIFS(Sales_Transactions!M:M, Sales_Transactions!C:C, "Vikram Reddy", Sales_Transactions!Q:Q, "&lt;&gt;Cancelled")</f>
        <v/>
      </c>
      <c r="G42" s="55">
        <f>IF(E42=0, "Never Purchased", "Active Customer")</f>
        <v/>
      </c>
      <c r="H42" s="39">
        <f>IF(E42=0, "Inactive", IF(F42&gt;=50000, "Platinum", IF(F42&gt;=20000, "Gold", IF(F42&gt;=5000, "Silver", "Bronze"))))</f>
        <v/>
      </c>
    </row>
    <row r="43">
      <c r="A43" s="51" t="n">
        <v>39</v>
      </c>
      <c r="B43" s="52" t="inlineStr">
        <is>
          <t>Kiran Gupta</t>
        </is>
      </c>
      <c r="C43" s="52" t="inlineStr">
        <is>
          <t>Delhi</t>
        </is>
      </c>
      <c r="D43" s="51" t="inlineStr">
        <is>
          <t>North</t>
        </is>
      </c>
      <c r="E43" s="53">
        <f>COUNTIFS(Sales_Transactions!C:C, "Kiran Gupta", Sales_Transactions!Q:Q, "&lt;&gt;Cancelled")</f>
        <v/>
      </c>
      <c r="F43" s="54">
        <f>SUMIFS(Sales_Transactions!M:M, Sales_Transactions!C:C, "Kiran Gupta", Sales_Transactions!Q:Q, "&lt;&gt;Cancelled")</f>
        <v/>
      </c>
      <c r="G43" s="51">
        <f>IF(E43=0, "Never Purchased", "Active Customer")</f>
        <v/>
      </c>
      <c r="H43" s="37">
        <f>IF(E43=0, "Inactive", IF(F43&gt;=50000, "Platinum", IF(F43&gt;=20000, "Gold", IF(F43&gt;=5000, "Silver", "Bronze"))))</f>
        <v/>
      </c>
    </row>
    <row r="44">
      <c r="A44" s="55" t="n">
        <v>40</v>
      </c>
      <c r="B44" s="56" t="inlineStr">
        <is>
          <t>Manoj Verma</t>
        </is>
      </c>
      <c r="C44" s="56" t="inlineStr">
        <is>
          <t>Gurgaon</t>
        </is>
      </c>
      <c r="D44" s="55" t="inlineStr">
        <is>
          <t>North</t>
        </is>
      </c>
      <c r="E44" s="57">
        <f>COUNTIFS(Sales_Transactions!C:C, "Manoj Verma", Sales_Transactions!Q:Q, "&lt;&gt;Cancelled")</f>
        <v/>
      </c>
      <c r="F44" s="58">
        <f>SUMIFS(Sales_Transactions!M:M, Sales_Transactions!C:C, "Manoj Verma", Sales_Transactions!Q:Q, "&lt;&gt;Cancelled")</f>
        <v/>
      </c>
      <c r="G44" s="55">
        <f>IF(E44=0, "Never Purchased", "Active Customer")</f>
        <v/>
      </c>
      <c r="H44" s="39">
        <f>IF(E44=0, "Inactive", IF(F44&gt;=50000, "Platinum", IF(F44&gt;=20000, "Gold", IF(F44&gt;=5000, "Silver", "Bronze"))))</f>
        <v/>
      </c>
    </row>
    <row r="45">
      <c r="A45" s="51" t="n">
        <v>41</v>
      </c>
      <c r="B45" s="52" t="inlineStr">
        <is>
          <t>Rhea Gupta</t>
        </is>
      </c>
      <c r="C45" s="52" t="inlineStr">
        <is>
          <t>Surat</t>
        </is>
      </c>
      <c r="D45" s="51" t="inlineStr">
        <is>
          <t>West</t>
        </is>
      </c>
      <c r="E45" s="53">
        <f>COUNTIFS(Sales_Transactions!C:C, "Rhea Gupta", Sales_Transactions!Q:Q, "&lt;&gt;Cancelled")</f>
        <v/>
      </c>
      <c r="F45" s="54">
        <f>SUMIFS(Sales_Transactions!M:M, Sales_Transactions!C:C, "Rhea Gupta", Sales_Transactions!Q:Q, "&lt;&gt;Cancelled")</f>
        <v/>
      </c>
      <c r="G45" s="51">
        <f>IF(E45=0, "Never Purchased", "Active Customer")</f>
        <v/>
      </c>
      <c r="H45" s="37">
        <f>IF(E45=0, "Inactive", IF(F45&gt;=50000, "Platinum", IF(F45&gt;=20000, "Gold", IF(F45&gt;=5000, "Silver", "Bronze"))))</f>
        <v/>
      </c>
    </row>
    <row r="46">
      <c r="A46" s="55" t="n">
        <v>42</v>
      </c>
      <c r="B46" s="56" t="inlineStr">
        <is>
          <t>Nandini Singh</t>
        </is>
      </c>
      <c r="C46" s="56" t="inlineStr">
        <is>
          <t>Gwalior</t>
        </is>
      </c>
      <c r="D46" s="55" t="inlineStr">
        <is>
          <t>Central</t>
        </is>
      </c>
      <c r="E46" s="57">
        <f>COUNTIFS(Sales_Transactions!C:C, "Nandini Singh", Sales_Transactions!Q:Q, "&lt;&gt;Cancelled")</f>
        <v/>
      </c>
      <c r="F46" s="58">
        <f>SUMIFS(Sales_Transactions!M:M, Sales_Transactions!C:C, "Nandini Singh", Sales_Transactions!Q:Q, "&lt;&gt;Cancelled")</f>
        <v/>
      </c>
      <c r="G46" s="55">
        <f>IF(E46=0, "Never Purchased", "Active Customer")</f>
        <v/>
      </c>
      <c r="H46" s="39">
        <f>IF(E46=0, "Inactive", IF(F46&gt;=50000, "Platinum", IF(F46&gt;=20000, "Gold", IF(F46&gt;=5000, "Silver", "Bronze"))))</f>
        <v/>
      </c>
    </row>
    <row r="47">
      <c r="A47" s="51" t="n">
        <v>43</v>
      </c>
      <c r="B47" s="52" t="inlineStr">
        <is>
          <t>Shreya Kapoor</t>
        </is>
      </c>
      <c r="C47" s="52" t="inlineStr">
        <is>
          <t>Bhubaneswar</t>
        </is>
      </c>
      <c r="D47" s="51" t="inlineStr">
        <is>
          <t>East</t>
        </is>
      </c>
      <c r="E47" s="53">
        <f>COUNTIFS(Sales_Transactions!C:C, "Shreya Kapoor", Sales_Transactions!Q:Q, "&lt;&gt;Cancelled")</f>
        <v/>
      </c>
      <c r="F47" s="54">
        <f>SUMIFS(Sales_Transactions!M:M, Sales_Transactions!C:C, "Shreya Kapoor", Sales_Transactions!Q:Q, "&lt;&gt;Cancelled")</f>
        <v/>
      </c>
      <c r="G47" s="51">
        <f>IF(E47=0, "Never Purchased", "Active Customer")</f>
        <v/>
      </c>
      <c r="H47" s="37">
        <f>IF(E47=0, "Inactive", IF(F47&gt;=50000, "Platinum", IF(F47&gt;=20000, "Gold", IF(F47&gt;=5000, "Silver", "Bronze"))))</f>
        <v/>
      </c>
    </row>
    <row r="48">
      <c r="A48" s="55" t="n">
        <v>44</v>
      </c>
      <c r="B48" s="56" t="inlineStr">
        <is>
          <t>Rajesh Joshi</t>
        </is>
      </c>
      <c r="C48" s="56" t="inlineStr">
        <is>
          <t>Surat</t>
        </is>
      </c>
      <c r="D48" s="55" t="inlineStr">
        <is>
          <t>West</t>
        </is>
      </c>
      <c r="E48" s="57">
        <f>COUNTIFS(Sales_Transactions!C:C, "Rajesh Joshi", Sales_Transactions!Q:Q, "&lt;&gt;Cancelled")</f>
        <v/>
      </c>
      <c r="F48" s="58">
        <f>SUMIFS(Sales_Transactions!M:M, Sales_Transactions!C:C, "Rajesh Joshi", Sales_Transactions!Q:Q, "&lt;&gt;Cancelled")</f>
        <v/>
      </c>
      <c r="G48" s="55">
        <f>IF(E48=0, "Never Purchased", "Active Customer")</f>
        <v/>
      </c>
      <c r="H48" s="39">
        <f>IF(E48=0, "Inactive", IF(F48&gt;=50000, "Platinum", IF(F48&gt;=20000, "Gold", IF(F48&gt;=5000, "Silver", "Bronze"))))</f>
        <v/>
      </c>
    </row>
    <row r="49">
      <c r="A49" s="51" t="n">
        <v>45</v>
      </c>
      <c r="B49" s="52" t="inlineStr">
        <is>
          <t>Simran Patel</t>
        </is>
      </c>
      <c r="C49" s="52" t="inlineStr">
        <is>
          <t>Delhi</t>
        </is>
      </c>
      <c r="D49" s="51" t="inlineStr">
        <is>
          <t>North</t>
        </is>
      </c>
      <c r="E49" s="53">
        <f>COUNTIFS(Sales_Transactions!C:C, "Simran Patel", Sales_Transactions!Q:Q, "&lt;&gt;Cancelled")</f>
        <v/>
      </c>
      <c r="F49" s="54">
        <f>SUMIFS(Sales_Transactions!M:M, Sales_Transactions!C:C, "Simran Patel", Sales_Transactions!Q:Q, "&lt;&gt;Cancelled")</f>
        <v/>
      </c>
      <c r="G49" s="51">
        <f>IF(E49=0, "Never Purchased", "Active Customer")</f>
        <v/>
      </c>
      <c r="H49" s="37">
        <f>IF(E49=0, "Inactive", IF(F49&gt;=50000, "Platinum", IF(F49&gt;=20000, "Gold", IF(F49&gt;=5000, "Silver", "Bronze"))))</f>
        <v/>
      </c>
    </row>
    <row r="50">
      <c r="A50" s="55" t="n">
        <v>46</v>
      </c>
      <c r="B50" s="56" t="inlineStr">
        <is>
          <t>Deepika Iyer</t>
        </is>
      </c>
      <c r="C50" s="56" t="inlineStr">
        <is>
          <t>Chennai</t>
        </is>
      </c>
      <c r="D50" s="55" t="inlineStr">
        <is>
          <t>South</t>
        </is>
      </c>
      <c r="E50" s="57">
        <f>COUNTIFS(Sales_Transactions!C:C, "Deepika Iyer", Sales_Transactions!Q:Q, "&lt;&gt;Cancelled")</f>
        <v/>
      </c>
      <c r="F50" s="58">
        <f>SUMIFS(Sales_Transactions!M:M, Sales_Transactions!C:C, "Deepika Iyer", Sales_Transactions!Q:Q, "&lt;&gt;Cancelled")</f>
        <v/>
      </c>
      <c r="G50" s="55">
        <f>IF(E50=0, "Never Purchased", "Active Customer")</f>
        <v/>
      </c>
      <c r="H50" s="39">
        <f>IF(E50=0, "Inactive", IF(F50&gt;=50000, "Platinum", IF(F50&gt;=20000, "Gold", IF(F50&gt;=5000, "Silver", "Bronze"))))</f>
        <v/>
      </c>
    </row>
    <row r="51">
      <c r="A51" s="51" t="n">
        <v>47</v>
      </c>
      <c r="B51" s="52" t="inlineStr">
        <is>
          <t>Nandini Bhat</t>
        </is>
      </c>
      <c r="C51" s="52" t="inlineStr">
        <is>
          <t>Kochi</t>
        </is>
      </c>
      <c r="D51" s="51" t="inlineStr">
        <is>
          <t>South</t>
        </is>
      </c>
      <c r="E51" s="53">
        <f>COUNTIFS(Sales_Transactions!C:C, "Nandini Bhat", Sales_Transactions!Q:Q, "&lt;&gt;Cancelled")</f>
        <v/>
      </c>
      <c r="F51" s="54">
        <f>SUMIFS(Sales_Transactions!M:M, Sales_Transactions!C:C, "Nandini Bhat", Sales_Transactions!Q:Q, "&lt;&gt;Cancelled")</f>
        <v/>
      </c>
      <c r="G51" s="51">
        <f>IF(E51=0, "Never Purchased", "Active Customer")</f>
        <v/>
      </c>
      <c r="H51" s="37">
        <f>IF(E51=0, "Inactive", IF(F51&gt;=50000, "Platinum", IF(F51&gt;=20000, "Gold", IF(F51&gt;=5000, "Silver", "Bronze"))))</f>
        <v/>
      </c>
    </row>
    <row r="52">
      <c r="A52" s="55" t="n">
        <v>48</v>
      </c>
      <c r="B52" s="56" t="inlineStr">
        <is>
          <t>Meera Bhat</t>
        </is>
      </c>
      <c r="C52" s="56" t="inlineStr">
        <is>
          <t>Bengaluru</t>
        </is>
      </c>
      <c r="D52" s="55" t="inlineStr">
        <is>
          <t>South</t>
        </is>
      </c>
      <c r="E52" s="57">
        <f>COUNTIFS(Sales_Transactions!C:C, "Meera Bhat", Sales_Transactions!Q:Q, "&lt;&gt;Cancelled")</f>
        <v/>
      </c>
      <c r="F52" s="58">
        <f>SUMIFS(Sales_Transactions!M:M, Sales_Transactions!C:C, "Meera Bhat", Sales_Transactions!Q:Q, "&lt;&gt;Cancelled")</f>
        <v/>
      </c>
      <c r="G52" s="55">
        <f>IF(E52=0, "Never Purchased", "Active Customer")</f>
        <v/>
      </c>
      <c r="H52" s="39">
        <f>IF(E52=0, "Inactive", IF(F52&gt;=50000, "Platinum", IF(F52&gt;=20000, "Gold", IF(F52&gt;=5000, "Silver", "Bronze"))))</f>
        <v/>
      </c>
    </row>
    <row r="53">
      <c r="A53" s="51" t="n">
        <v>49</v>
      </c>
      <c r="B53" s="52" t="inlineStr">
        <is>
          <t>Harsh Iyer</t>
        </is>
      </c>
      <c r="C53" s="52" t="inlineStr">
        <is>
          <t>Lucknow</t>
        </is>
      </c>
      <c r="D53" s="51" t="inlineStr">
        <is>
          <t>North</t>
        </is>
      </c>
      <c r="E53" s="53">
        <f>COUNTIFS(Sales_Transactions!C:C, "Harsh Iyer", Sales_Transactions!Q:Q, "&lt;&gt;Cancelled")</f>
        <v/>
      </c>
      <c r="F53" s="54">
        <f>SUMIFS(Sales_Transactions!M:M, Sales_Transactions!C:C, "Harsh Iyer", Sales_Transactions!Q:Q, "&lt;&gt;Cancelled")</f>
        <v/>
      </c>
      <c r="G53" s="51">
        <f>IF(E53=0, "Never Purchased", "Active Customer")</f>
        <v/>
      </c>
      <c r="H53" s="37">
        <f>IF(E53=0, "Inactive", IF(F53&gt;=50000, "Platinum", IF(F53&gt;=20000, "Gold", IF(F53&gt;=5000, "Silver", "Bronze"))))</f>
        <v/>
      </c>
    </row>
    <row r="54">
      <c r="A54" s="55" t="n">
        <v>50</v>
      </c>
      <c r="B54" s="56" t="inlineStr">
        <is>
          <t>Aarav Verma</t>
        </is>
      </c>
      <c r="C54" s="56" t="inlineStr">
        <is>
          <t>Chennai</t>
        </is>
      </c>
      <c r="D54" s="55" t="inlineStr">
        <is>
          <t>South</t>
        </is>
      </c>
      <c r="E54" s="57">
        <f>COUNTIFS(Sales_Transactions!C:C, "Aarav Verma", Sales_Transactions!Q:Q, "&lt;&gt;Cancelled")</f>
        <v/>
      </c>
      <c r="F54" s="58">
        <f>SUMIFS(Sales_Transactions!M:M, Sales_Transactions!C:C, "Aarav Verma", Sales_Transactions!Q:Q, "&lt;&gt;Cancelled")</f>
        <v/>
      </c>
      <c r="G54" s="55">
        <f>IF(E54=0, "Never Purchased", "Active Customer")</f>
        <v/>
      </c>
      <c r="H54" s="39">
        <f>IF(E54=0, "Inactive", IF(F54&gt;=50000, "Platinum", IF(F54&gt;=20000, "Gold", IF(F54&gt;=5000, "Silver", "Bronze"))))</f>
        <v/>
      </c>
    </row>
    <row r="55">
      <c r="A55" s="51" t="n">
        <v>51</v>
      </c>
      <c r="B55" s="52" t="inlineStr">
        <is>
          <t>Ishaan Kapoor</t>
        </is>
      </c>
      <c r="C55" s="52" t="inlineStr">
        <is>
          <t>Kochi</t>
        </is>
      </c>
      <c r="D55" s="51" t="inlineStr">
        <is>
          <t>South</t>
        </is>
      </c>
      <c r="E55" s="53">
        <f>COUNTIFS(Sales_Transactions!C:C, "Ishaan Kapoor", Sales_Transactions!Q:Q, "&lt;&gt;Cancelled")</f>
        <v/>
      </c>
      <c r="F55" s="54">
        <f>SUMIFS(Sales_Transactions!M:M, Sales_Transactions!C:C, "Ishaan Kapoor", Sales_Transactions!Q:Q, "&lt;&gt;Cancelled")</f>
        <v/>
      </c>
      <c r="G55" s="51">
        <f>IF(E55=0, "Never Purchased", "Active Customer")</f>
        <v/>
      </c>
      <c r="H55" s="37">
        <f>IF(E55=0, "Inactive", IF(F55&gt;=50000, "Platinum", IF(F55&gt;=20000, "Gold", IF(F55&gt;=5000, "Silver", "Bronze"))))</f>
        <v/>
      </c>
    </row>
    <row r="56">
      <c r="A56" s="55" t="n">
        <v>52</v>
      </c>
      <c r="B56" s="56" t="inlineStr">
        <is>
          <t>Suresh Banerjee</t>
        </is>
      </c>
      <c r="C56" s="56" t="inlineStr">
        <is>
          <t>Chandigarh</t>
        </is>
      </c>
      <c r="D56" s="55" t="inlineStr">
        <is>
          <t>North</t>
        </is>
      </c>
      <c r="E56" s="57">
        <f>COUNTIFS(Sales_Transactions!C:C, "Suresh Banerjee", Sales_Transactions!Q:Q, "&lt;&gt;Cancelled")</f>
        <v/>
      </c>
      <c r="F56" s="58">
        <f>SUMIFS(Sales_Transactions!M:M, Sales_Transactions!C:C, "Suresh Banerjee", Sales_Transactions!Q:Q, "&lt;&gt;Cancelled")</f>
        <v/>
      </c>
      <c r="G56" s="55">
        <f>IF(E56=0, "Never Purchased", "Active Customer")</f>
        <v/>
      </c>
      <c r="H56" s="39">
        <f>IF(E56=0, "Inactive", IF(F56&gt;=50000, "Platinum", IF(F56&gt;=20000, "Gold", IF(F56&gt;=5000, "Silver", "Bronze"))))</f>
        <v/>
      </c>
    </row>
    <row r="57">
      <c r="A57" s="51" t="n">
        <v>53</v>
      </c>
      <c r="B57" s="52" t="inlineStr">
        <is>
          <t>Simran Choudhury</t>
        </is>
      </c>
      <c r="C57" s="52" t="inlineStr">
        <is>
          <t>Guwahati</t>
        </is>
      </c>
      <c r="D57" s="51" t="inlineStr">
        <is>
          <t>East</t>
        </is>
      </c>
      <c r="E57" s="53">
        <f>COUNTIFS(Sales_Transactions!C:C, "Simran Choudhury", Sales_Transactions!Q:Q, "&lt;&gt;Cancelled")</f>
        <v/>
      </c>
      <c r="F57" s="54">
        <f>SUMIFS(Sales_Transactions!M:M, Sales_Transactions!C:C, "Simran Choudhury", Sales_Transactions!Q:Q, "&lt;&gt;Cancelled")</f>
        <v/>
      </c>
      <c r="G57" s="51">
        <f>IF(E57=0, "Never Purchased", "Active Customer")</f>
        <v/>
      </c>
      <c r="H57" s="37">
        <f>IF(E57=0, "Inactive", IF(F57&gt;=50000, "Platinum", IF(F57&gt;=20000, "Gold", IF(F57&gt;=5000, "Silver", "Bronze"))))</f>
        <v/>
      </c>
    </row>
    <row r="58">
      <c r="A58" s="55" t="n">
        <v>54</v>
      </c>
      <c r="B58" s="56" t="inlineStr">
        <is>
          <t>Kavita Nair</t>
        </is>
      </c>
      <c r="C58" s="56" t="inlineStr">
        <is>
          <t>Pune</t>
        </is>
      </c>
      <c r="D58" s="55" t="inlineStr">
        <is>
          <t>West</t>
        </is>
      </c>
      <c r="E58" s="57">
        <f>COUNTIFS(Sales_Transactions!C:C, "Kavita Nair", Sales_Transactions!Q:Q, "&lt;&gt;Cancelled")</f>
        <v/>
      </c>
      <c r="F58" s="58">
        <f>SUMIFS(Sales_Transactions!M:M, Sales_Transactions!C:C, "Kavita Nair", Sales_Transactions!Q:Q, "&lt;&gt;Cancelled")</f>
        <v/>
      </c>
      <c r="G58" s="55">
        <f>IF(E58=0, "Never Purchased", "Active Customer")</f>
        <v/>
      </c>
      <c r="H58" s="39">
        <f>IF(E58=0, "Inactive", IF(F58&gt;=50000, "Platinum", IF(F58&gt;=20000, "Gold", IF(F58&gt;=5000, "Silver", "Bronze"))))</f>
        <v/>
      </c>
    </row>
    <row r="59">
      <c r="A59" s="51" t="n">
        <v>55</v>
      </c>
      <c r="B59" s="52" t="inlineStr">
        <is>
          <t>Kiran Saxena</t>
        </is>
      </c>
      <c r="C59" s="52" t="inlineStr">
        <is>
          <t>Lucknow</t>
        </is>
      </c>
      <c r="D59" s="51" t="inlineStr">
        <is>
          <t>North</t>
        </is>
      </c>
      <c r="E59" s="53">
        <f>COUNTIFS(Sales_Transactions!C:C, "Kiran Saxena", Sales_Transactions!Q:Q, "&lt;&gt;Cancelled")</f>
        <v/>
      </c>
      <c r="F59" s="54">
        <f>SUMIFS(Sales_Transactions!M:M, Sales_Transactions!C:C, "Kiran Saxena", Sales_Transactions!Q:Q, "&lt;&gt;Cancelled")</f>
        <v/>
      </c>
      <c r="G59" s="51">
        <f>IF(E59=0, "Never Purchased", "Active Customer")</f>
        <v/>
      </c>
      <c r="H59" s="37">
        <f>IF(E59=0, "Inactive", IF(F59&gt;=50000, "Platinum", IF(F59&gt;=20000, "Gold", IF(F59&gt;=5000, "Silver", "Bronze"))))</f>
        <v/>
      </c>
    </row>
    <row r="60">
      <c r="A60" s="55" t="n">
        <v>56</v>
      </c>
      <c r="B60" s="56" t="inlineStr">
        <is>
          <t>Ananya Patel</t>
        </is>
      </c>
      <c r="C60" s="56" t="inlineStr">
        <is>
          <t>Jabalpur</t>
        </is>
      </c>
      <c r="D60" s="55" t="inlineStr">
        <is>
          <t>Central</t>
        </is>
      </c>
      <c r="E60" s="57">
        <f>COUNTIFS(Sales_Transactions!C:C, "Ananya Patel", Sales_Transactions!Q:Q, "&lt;&gt;Cancelled")</f>
        <v/>
      </c>
      <c r="F60" s="58">
        <f>SUMIFS(Sales_Transactions!M:M, Sales_Transactions!C:C, "Ananya Patel", Sales_Transactions!Q:Q, "&lt;&gt;Cancelled")</f>
        <v/>
      </c>
      <c r="G60" s="55">
        <f>IF(E60=0, "Never Purchased", "Active Customer")</f>
        <v/>
      </c>
      <c r="H60" s="39">
        <f>IF(E60=0, "Inactive", IF(F60&gt;=50000, "Platinum", IF(F60&gt;=20000, "Gold", IF(F60&gt;=5000, "Silver", "Bronze"))))</f>
        <v/>
      </c>
    </row>
    <row r="61">
      <c r="A61" s="51" t="n">
        <v>57</v>
      </c>
      <c r="B61" s="52" t="inlineStr">
        <is>
          <t>Alok Rao</t>
        </is>
      </c>
      <c r="C61" s="52" t="inlineStr">
        <is>
          <t>Jaipur</t>
        </is>
      </c>
      <c r="D61" s="51" t="inlineStr">
        <is>
          <t>North</t>
        </is>
      </c>
      <c r="E61" s="53">
        <f>COUNTIFS(Sales_Transactions!C:C, "Alok Rao", Sales_Transactions!Q:Q, "&lt;&gt;Cancelled")</f>
        <v/>
      </c>
      <c r="F61" s="54">
        <f>SUMIFS(Sales_Transactions!M:M, Sales_Transactions!C:C, "Alok Rao", Sales_Transactions!Q:Q, "&lt;&gt;Cancelled")</f>
        <v/>
      </c>
      <c r="G61" s="51">
        <f>IF(E61=0, "Never Purchased", "Active Customer")</f>
        <v/>
      </c>
      <c r="H61" s="37">
        <f>IF(E61=0, "Inactive", IF(F61&gt;=50000, "Platinum", IF(F61&gt;=20000, "Gold", IF(F61&gt;=5000, "Silver", "Bronze"))))</f>
        <v/>
      </c>
    </row>
    <row r="62">
      <c r="A62" s="55" t="n">
        <v>58</v>
      </c>
      <c r="B62" s="56" t="inlineStr">
        <is>
          <t>Neha Verma</t>
        </is>
      </c>
      <c r="C62" s="56" t="inlineStr">
        <is>
          <t>Bhopal</t>
        </is>
      </c>
      <c r="D62" s="55" t="inlineStr">
        <is>
          <t>Central</t>
        </is>
      </c>
      <c r="E62" s="57">
        <f>COUNTIFS(Sales_Transactions!C:C, "Neha Verma", Sales_Transactions!Q:Q, "&lt;&gt;Cancelled")</f>
        <v/>
      </c>
      <c r="F62" s="58">
        <f>SUMIFS(Sales_Transactions!M:M, Sales_Transactions!C:C, "Neha Verma", Sales_Transactions!Q:Q, "&lt;&gt;Cancelled")</f>
        <v/>
      </c>
      <c r="G62" s="55">
        <f>IF(E62=0, "Never Purchased", "Active Customer")</f>
        <v/>
      </c>
      <c r="H62" s="39">
        <f>IF(E62=0, "Inactive", IF(F62&gt;=50000, "Platinum", IF(F62&gt;=20000, "Gold", IF(F62&gt;=5000, "Silver", "Bronze"))))</f>
        <v/>
      </c>
    </row>
    <row r="63">
      <c r="A63" s="51" t="n">
        <v>59</v>
      </c>
      <c r="B63" s="52" t="inlineStr">
        <is>
          <t>Swati Iyer</t>
        </is>
      </c>
      <c r="C63" s="52" t="inlineStr">
        <is>
          <t>Indore</t>
        </is>
      </c>
      <c r="D63" s="51" t="inlineStr">
        <is>
          <t>Central</t>
        </is>
      </c>
      <c r="E63" s="53">
        <f>COUNTIFS(Sales_Transactions!C:C, "Swati Iyer", Sales_Transactions!Q:Q, "&lt;&gt;Cancelled")</f>
        <v/>
      </c>
      <c r="F63" s="54">
        <f>SUMIFS(Sales_Transactions!M:M, Sales_Transactions!C:C, "Swati Iyer", Sales_Transactions!Q:Q, "&lt;&gt;Cancelled")</f>
        <v/>
      </c>
      <c r="G63" s="51">
        <f>IF(E63=0, "Never Purchased", "Active Customer")</f>
        <v/>
      </c>
      <c r="H63" s="37">
        <f>IF(E63=0, "Inactive", IF(F63&gt;=50000, "Platinum", IF(F63&gt;=20000, "Gold", IF(F63&gt;=5000, "Silver", "Bronze"))))</f>
        <v/>
      </c>
    </row>
    <row r="64">
      <c r="A64" s="55" t="n">
        <v>60</v>
      </c>
      <c r="B64" s="56" t="inlineStr">
        <is>
          <t>Tarun Verma</t>
        </is>
      </c>
      <c r="C64" s="56" t="inlineStr">
        <is>
          <t>Guwahati</t>
        </is>
      </c>
      <c r="D64" s="55" t="inlineStr">
        <is>
          <t>East</t>
        </is>
      </c>
      <c r="E64" s="57">
        <f>COUNTIFS(Sales_Transactions!C:C, "Tarun Verma", Sales_Transactions!Q:Q, "&lt;&gt;Cancelled")</f>
        <v/>
      </c>
      <c r="F64" s="58">
        <f>SUMIFS(Sales_Transactions!M:M, Sales_Transactions!C:C, "Tarun Verma", Sales_Transactions!Q:Q, "&lt;&gt;Cancelled")</f>
        <v/>
      </c>
      <c r="G64" s="55">
        <f>IF(E64=0, "Never Purchased", "Active Customer")</f>
        <v/>
      </c>
      <c r="H64" s="39">
        <f>IF(E64=0, "Inactive", IF(F64&gt;=50000, "Platinum", IF(F64&gt;=20000, "Gold", IF(F64&gt;=5000, "Silver", "Bronze"))))</f>
        <v/>
      </c>
    </row>
    <row r="65">
      <c r="A65" s="51" t="n">
        <v>61</v>
      </c>
      <c r="B65" s="52" t="inlineStr">
        <is>
          <t>Nikhil Deshmukh</t>
        </is>
      </c>
      <c r="C65" s="52" t="inlineStr">
        <is>
          <t>Hyderabad</t>
        </is>
      </c>
      <c r="D65" s="51" t="inlineStr">
        <is>
          <t>South</t>
        </is>
      </c>
      <c r="E65" s="53">
        <f>COUNTIFS(Sales_Transactions!C:C, "Nikhil Deshmukh", Sales_Transactions!Q:Q, "&lt;&gt;Cancelled")</f>
        <v/>
      </c>
      <c r="F65" s="54">
        <f>SUMIFS(Sales_Transactions!M:M, Sales_Transactions!C:C, "Nikhil Deshmukh", Sales_Transactions!Q:Q, "&lt;&gt;Cancelled")</f>
        <v/>
      </c>
      <c r="G65" s="51">
        <f>IF(E65=0, "Never Purchased", "Active Customer")</f>
        <v/>
      </c>
      <c r="H65" s="37">
        <f>IF(E65=0, "Inactive", IF(F65&gt;=50000, "Platinum", IF(F65&gt;=20000, "Gold", IF(F65&gt;=5000, "Silver", "Bronze"))))</f>
        <v/>
      </c>
    </row>
    <row r="66">
      <c r="A66" s="55" t="n">
        <v>62</v>
      </c>
      <c r="B66" s="56" t="inlineStr">
        <is>
          <t>Kunal Banerjee</t>
        </is>
      </c>
      <c r="C66" s="56" t="inlineStr">
        <is>
          <t>Hyderabad</t>
        </is>
      </c>
      <c r="D66" s="55" t="inlineStr">
        <is>
          <t>South</t>
        </is>
      </c>
      <c r="E66" s="57">
        <f>COUNTIFS(Sales_Transactions!C:C, "Kunal Banerjee", Sales_Transactions!Q:Q, "&lt;&gt;Cancelled")</f>
        <v/>
      </c>
      <c r="F66" s="58">
        <f>SUMIFS(Sales_Transactions!M:M, Sales_Transactions!C:C, "Kunal Banerjee", Sales_Transactions!Q:Q, "&lt;&gt;Cancelled")</f>
        <v/>
      </c>
      <c r="G66" s="55">
        <f>IF(E66=0, "Never Purchased", "Active Customer")</f>
        <v/>
      </c>
      <c r="H66" s="39">
        <f>IF(E66=0, "Inactive", IF(F66&gt;=50000, "Platinum", IF(F66&gt;=20000, "Gold", IF(F66&gt;=5000, "Silver", "Bronze"))))</f>
        <v/>
      </c>
    </row>
    <row r="67">
      <c r="A67" s="51" t="n">
        <v>63</v>
      </c>
      <c r="B67" s="52" t="inlineStr">
        <is>
          <t>Nikhil Verma</t>
        </is>
      </c>
      <c r="C67" s="52" t="inlineStr">
        <is>
          <t>Chandigarh</t>
        </is>
      </c>
      <c r="D67" s="51" t="inlineStr">
        <is>
          <t>North</t>
        </is>
      </c>
      <c r="E67" s="53">
        <f>COUNTIFS(Sales_Transactions!C:C, "Nikhil Verma", Sales_Transactions!Q:Q, "&lt;&gt;Cancelled")</f>
        <v/>
      </c>
      <c r="F67" s="54">
        <f>SUMIFS(Sales_Transactions!M:M, Sales_Transactions!C:C, "Nikhil Verma", Sales_Transactions!Q:Q, "&lt;&gt;Cancelled")</f>
        <v/>
      </c>
      <c r="G67" s="51">
        <f>IF(E67=0, "Never Purchased", "Active Customer")</f>
        <v/>
      </c>
      <c r="H67" s="37">
        <f>IF(E67=0, "Inactive", IF(F67&gt;=50000, "Platinum", IF(F67&gt;=20000, "Gold", IF(F67&gt;=5000, "Silver", "Bronze"))))</f>
        <v/>
      </c>
    </row>
    <row r="68">
      <c r="A68" s="55" t="n">
        <v>64</v>
      </c>
      <c r="B68" s="56" t="inlineStr">
        <is>
          <t>Vikram Saxena</t>
        </is>
      </c>
      <c r="C68" s="56" t="inlineStr">
        <is>
          <t>Coimbatore</t>
        </is>
      </c>
      <c r="D68" s="55" t="inlineStr">
        <is>
          <t>South</t>
        </is>
      </c>
      <c r="E68" s="57">
        <f>COUNTIFS(Sales_Transactions!C:C, "Vikram Saxena", Sales_Transactions!Q:Q, "&lt;&gt;Cancelled")</f>
        <v/>
      </c>
      <c r="F68" s="58">
        <f>SUMIFS(Sales_Transactions!M:M, Sales_Transactions!C:C, "Vikram Saxena", Sales_Transactions!Q:Q, "&lt;&gt;Cancelled")</f>
        <v/>
      </c>
      <c r="G68" s="55">
        <f>IF(E68=0, "Never Purchased", "Active Customer")</f>
        <v/>
      </c>
      <c r="H68" s="39">
        <f>IF(E68=0, "Inactive", IF(F68&gt;=50000, "Platinum", IF(F68&gt;=20000, "Gold", IF(F68&gt;=5000, "Silver", "Bronze"))))</f>
        <v/>
      </c>
    </row>
    <row r="69">
      <c r="A69" s="51" t="n">
        <v>65</v>
      </c>
      <c r="B69" s="52" t="inlineStr">
        <is>
          <t>Amit Mehta</t>
        </is>
      </c>
      <c r="C69" s="52" t="inlineStr">
        <is>
          <t>Noida</t>
        </is>
      </c>
      <c r="D69" s="51" t="inlineStr">
        <is>
          <t>North</t>
        </is>
      </c>
      <c r="E69" s="53">
        <f>COUNTIFS(Sales_Transactions!C:C, "Amit Mehta", Sales_Transactions!Q:Q, "&lt;&gt;Cancelled")</f>
        <v/>
      </c>
      <c r="F69" s="54">
        <f>SUMIFS(Sales_Transactions!M:M, Sales_Transactions!C:C, "Amit Mehta", Sales_Transactions!Q:Q, "&lt;&gt;Cancelled")</f>
        <v/>
      </c>
      <c r="G69" s="51">
        <f>IF(E69=0, "Never Purchased", "Active Customer")</f>
        <v/>
      </c>
      <c r="H69" s="37">
        <f>IF(E69=0, "Inactive", IF(F69&gt;=50000, "Platinum", IF(F69&gt;=20000, "Gold", IF(F69&gt;=5000, "Silver", "Bronze"))))</f>
        <v/>
      </c>
    </row>
    <row r="70">
      <c r="A70" s="55" t="n">
        <v>66</v>
      </c>
      <c r="B70" s="56" t="inlineStr">
        <is>
          <t>Aditya Rao</t>
        </is>
      </c>
      <c r="C70" s="56" t="inlineStr">
        <is>
          <t>Guwahati</t>
        </is>
      </c>
      <c r="D70" s="55" t="inlineStr">
        <is>
          <t>East</t>
        </is>
      </c>
      <c r="E70" s="57">
        <f>COUNTIFS(Sales_Transactions!C:C, "Aditya Rao", Sales_Transactions!Q:Q, "&lt;&gt;Cancelled")</f>
        <v/>
      </c>
      <c r="F70" s="58">
        <f>SUMIFS(Sales_Transactions!M:M, Sales_Transactions!C:C, "Aditya Rao", Sales_Transactions!Q:Q, "&lt;&gt;Cancelled")</f>
        <v/>
      </c>
      <c r="G70" s="55">
        <f>IF(E70=0, "Never Purchased", "Active Customer")</f>
        <v/>
      </c>
      <c r="H70" s="39">
        <f>IF(E70=0, "Inactive", IF(F70&gt;=50000, "Platinum", IF(F70&gt;=20000, "Gold", IF(F70&gt;=5000, "Silver", "Bronze"))))</f>
        <v/>
      </c>
    </row>
    <row r="71">
      <c r="A71" s="51" t="n">
        <v>67</v>
      </c>
      <c r="B71" s="52" t="inlineStr">
        <is>
          <t>Tarun Agarwal</t>
        </is>
      </c>
      <c r="C71" s="52" t="inlineStr">
        <is>
          <t>Lucknow</t>
        </is>
      </c>
      <c r="D71" s="51" t="inlineStr">
        <is>
          <t>North</t>
        </is>
      </c>
      <c r="E71" s="53">
        <f>COUNTIFS(Sales_Transactions!C:C, "Tarun Agarwal", Sales_Transactions!Q:Q, "&lt;&gt;Cancelled")</f>
        <v/>
      </c>
      <c r="F71" s="54">
        <f>SUMIFS(Sales_Transactions!M:M, Sales_Transactions!C:C, "Tarun Agarwal", Sales_Transactions!Q:Q, "&lt;&gt;Cancelled")</f>
        <v/>
      </c>
      <c r="G71" s="51">
        <f>IF(E71=0, "Never Purchased", "Active Customer")</f>
        <v/>
      </c>
      <c r="H71" s="37">
        <f>IF(E71=0, "Inactive", IF(F71&gt;=50000, "Platinum", IF(F71&gt;=20000, "Gold", IF(F71&gt;=5000, "Silver", "Bronze"))))</f>
        <v/>
      </c>
    </row>
    <row r="72">
      <c r="A72" s="55" t="n">
        <v>68</v>
      </c>
      <c r="B72" s="56" t="inlineStr">
        <is>
          <t>Rajesh Singh</t>
        </is>
      </c>
      <c r="C72" s="56" t="inlineStr">
        <is>
          <t>Mumbai</t>
        </is>
      </c>
      <c r="D72" s="55" t="inlineStr">
        <is>
          <t>West</t>
        </is>
      </c>
      <c r="E72" s="57">
        <f>COUNTIFS(Sales_Transactions!C:C, "Rajesh Singh", Sales_Transactions!Q:Q, "&lt;&gt;Cancelled")</f>
        <v/>
      </c>
      <c r="F72" s="58">
        <f>SUMIFS(Sales_Transactions!M:M, Sales_Transactions!C:C, "Rajesh Singh", Sales_Transactions!Q:Q, "&lt;&gt;Cancelled")</f>
        <v/>
      </c>
      <c r="G72" s="55">
        <f>IF(E72=0, "Never Purchased", "Active Customer")</f>
        <v/>
      </c>
      <c r="H72" s="39">
        <f>IF(E72=0, "Inactive", IF(F72&gt;=50000, "Platinum", IF(F72&gt;=20000, "Gold", IF(F72&gt;=5000, "Silver", "Bronze"))))</f>
        <v/>
      </c>
    </row>
    <row r="73">
      <c r="A73" s="51" t="n">
        <v>69</v>
      </c>
      <c r="B73" s="52" t="inlineStr">
        <is>
          <t>Harsh Singh</t>
        </is>
      </c>
      <c r="C73" s="52" t="inlineStr">
        <is>
          <t>Ahmedabad</t>
        </is>
      </c>
      <c r="D73" s="51" t="inlineStr">
        <is>
          <t>West</t>
        </is>
      </c>
      <c r="E73" s="53">
        <f>COUNTIFS(Sales_Transactions!C:C, "Harsh Singh", Sales_Transactions!Q:Q, "&lt;&gt;Cancelled")</f>
        <v/>
      </c>
      <c r="F73" s="54">
        <f>SUMIFS(Sales_Transactions!M:M, Sales_Transactions!C:C, "Harsh Singh", Sales_Transactions!Q:Q, "&lt;&gt;Cancelled")</f>
        <v/>
      </c>
      <c r="G73" s="51">
        <f>IF(E73=0, "Never Purchased", "Active Customer")</f>
        <v/>
      </c>
      <c r="H73" s="37">
        <f>IF(E73=0, "Inactive", IF(F73&gt;=50000, "Platinum", IF(F73&gt;=20000, "Gold", IF(F73&gt;=5000, "Silver", "Bronze"))))</f>
        <v/>
      </c>
    </row>
    <row r="74">
      <c r="A74" s="55" t="n">
        <v>70</v>
      </c>
      <c r="B74" s="56" t="inlineStr">
        <is>
          <t>Deepika Nair</t>
        </is>
      </c>
      <c r="C74" s="56" t="inlineStr">
        <is>
          <t>Nagpur</t>
        </is>
      </c>
      <c r="D74" s="55" t="inlineStr">
        <is>
          <t>West</t>
        </is>
      </c>
      <c r="E74" s="57">
        <f>COUNTIFS(Sales_Transactions!C:C, "Deepika Nair", Sales_Transactions!Q:Q, "&lt;&gt;Cancelled")</f>
        <v/>
      </c>
      <c r="F74" s="58">
        <f>SUMIFS(Sales_Transactions!M:M, Sales_Transactions!C:C, "Deepika Nair", Sales_Transactions!Q:Q, "&lt;&gt;Cancelled")</f>
        <v/>
      </c>
      <c r="G74" s="55">
        <f>IF(E74=0, "Never Purchased", "Active Customer")</f>
        <v/>
      </c>
      <c r="H74" s="39">
        <f>IF(E74=0, "Inactive", IF(F74&gt;=50000, "Platinum", IF(F74&gt;=20000, "Gold", IF(F74&gt;=5000, "Silver", "Bronze"))))</f>
        <v/>
      </c>
    </row>
    <row r="75">
      <c r="A75" s="51" t="n">
        <v>71</v>
      </c>
      <c r="B75" s="52" t="inlineStr">
        <is>
          <t>Kunal Patel</t>
        </is>
      </c>
      <c r="C75" s="52" t="inlineStr">
        <is>
          <t>Lucknow</t>
        </is>
      </c>
      <c r="D75" s="51" t="inlineStr">
        <is>
          <t>North</t>
        </is>
      </c>
      <c r="E75" s="53">
        <f>COUNTIFS(Sales_Transactions!C:C, "Kunal Patel", Sales_Transactions!Q:Q, "&lt;&gt;Cancelled")</f>
        <v/>
      </c>
      <c r="F75" s="54">
        <f>SUMIFS(Sales_Transactions!M:M, Sales_Transactions!C:C, "Kunal Patel", Sales_Transactions!Q:Q, "&lt;&gt;Cancelled")</f>
        <v/>
      </c>
      <c r="G75" s="51">
        <f>IF(E75=0, "Never Purchased", "Active Customer")</f>
        <v/>
      </c>
      <c r="H75" s="37">
        <f>IF(E75=0, "Inactive", IF(F75&gt;=50000, "Platinum", IF(F75&gt;=20000, "Gold", IF(F75&gt;=5000, "Silver", "Bronze"))))</f>
        <v/>
      </c>
    </row>
    <row r="76">
      <c r="A76" s="55" t="n">
        <v>72</v>
      </c>
      <c r="B76" s="56" t="inlineStr">
        <is>
          <t>Meera Patel</t>
        </is>
      </c>
      <c r="C76" s="56" t="inlineStr">
        <is>
          <t>Gurgaon</t>
        </is>
      </c>
      <c r="D76" s="55" t="inlineStr">
        <is>
          <t>North</t>
        </is>
      </c>
      <c r="E76" s="57">
        <f>COUNTIFS(Sales_Transactions!C:C, "Meera Patel", Sales_Transactions!Q:Q, "&lt;&gt;Cancelled")</f>
        <v/>
      </c>
      <c r="F76" s="58">
        <f>SUMIFS(Sales_Transactions!M:M, Sales_Transactions!C:C, "Meera Patel", Sales_Transactions!Q:Q, "&lt;&gt;Cancelled")</f>
        <v/>
      </c>
      <c r="G76" s="55">
        <f>IF(E76=0, "Never Purchased", "Active Customer")</f>
        <v/>
      </c>
      <c r="H76" s="39">
        <f>IF(E76=0, "Inactive", IF(F76&gt;=50000, "Platinum", IF(F76&gt;=20000, "Gold", IF(F76&gt;=5000, "Silver", "Bronze"))))</f>
        <v/>
      </c>
    </row>
    <row r="77">
      <c r="A77" s="51" t="n">
        <v>73</v>
      </c>
      <c r="B77" s="52" t="inlineStr">
        <is>
          <t>Kunal Rao</t>
        </is>
      </c>
      <c r="C77" s="52" t="inlineStr">
        <is>
          <t>Guwahati</t>
        </is>
      </c>
      <c r="D77" s="51" t="inlineStr">
        <is>
          <t>East</t>
        </is>
      </c>
      <c r="E77" s="53">
        <f>COUNTIFS(Sales_Transactions!C:C, "Kunal Rao", Sales_Transactions!Q:Q, "&lt;&gt;Cancelled")</f>
        <v/>
      </c>
      <c r="F77" s="54">
        <f>SUMIFS(Sales_Transactions!M:M, Sales_Transactions!C:C, "Kunal Rao", Sales_Transactions!Q:Q, "&lt;&gt;Cancelled")</f>
        <v/>
      </c>
      <c r="G77" s="51">
        <f>IF(E77=0, "Never Purchased", "Active Customer")</f>
        <v/>
      </c>
      <c r="H77" s="37">
        <f>IF(E77=0, "Inactive", IF(F77&gt;=50000, "Platinum", IF(F77&gt;=20000, "Gold", IF(F77&gt;=5000, "Silver", "Bronze"))))</f>
        <v/>
      </c>
    </row>
    <row r="78">
      <c r="A78" s="55" t="n">
        <v>74</v>
      </c>
      <c r="B78" s="56" t="inlineStr">
        <is>
          <t>Harsh Sharma</t>
        </is>
      </c>
      <c r="C78" s="56" t="inlineStr">
        <is>
          <t>Delhi</t>
        </is>
      </c>
      <c r="D78" s="55" t="inlineStr">
        <is>
          <t>North</t>
        </is>
      </c>
      <c r="E78" s="57">
        <f>COUNTIFS(Sales_Transactions!C:C, "Harsh Sharma", Sales_Transactions!Q:Q, "&lt;&gt;Cancelled")</f>
        <v/>
      </c>
      <c r="F78" s="58">
        <f>SUMIFS(Sales_Transactions!M:M, Sales_Transactions!C:C, "Harsh Sharma", Sales_Transactions!Q:Q, "&lt;&gt;Cancelled")</f>
        <v/>
      </c>
      <c r="G78" s="55">
        <f>IF(E78=0, "Never Purchased", "Active Customer")</f>
        <v/>
      </c>
      <c r="H78" s="39">
        <f>IF(E78=0, "Inactive", IF(F78&gt;=50000, "Platinum", IF(F78&gt;=20000, "Gold", IF(F78&gt;=5000, "Silver", "Bronze"))))</f>
        <v/>
      </c>
    </row>
    <row r="79">
      <c r="A79" s="51" t="n">
        <v>75</v>
      </c>
      <c r="B79" s="52" t="inlineStr">
        <is>
          <t>Nandini Patel</t>
        </is>
      </c>
      <c r="C79" s="52" t="inlineStr">
        <is>
          <t>Nagpur</t>
        </is>
      </c>
      <c r="D79" s="51" t="inlineStr">
        <is>
          <t>West</t>
        </is>
      </c>
      <c r="E79" s="53">
        <f>COUNTIFS(Sales_Transactions!C:C, "Nandini Patel", Sales_Transactions!Q:Q, "&lt;&gt;Cancelled")</f>
        <v/>
      </c>
      <c r="F79" s="54">
        <f>SUMIFS(Sales_Transactions!M:M, Sales_Transactions!C:C, "Nandini Patel", Sales_Transactions!Q:Q, "&lt;&gt;Cancelled")</f>
        <v/>
      </c>
      <c r="G79" s="51">
        <f>IF(E79=0, "Never Purchased", "Active Customer")</f>
        <v/>
      </c>
      <c r="H79" s="37">
        <f>IF(E79=0, "Inactive", IF(F79&gt;=50000, "Platinum", IF(F79&gt;=20000, "Gold", IF(F79&gt;=5000, "Silver", "Bronze"))))</f>
        <v/>
      </c>
    </row>
    <row r="80">
      <c r="A80" s="55" t="n">
        <v>76</v>
      </c>
      <c r="B80" s="56" t="inlineStr">
        <is>
          <t>Anjali Singh</t>
        </is>
      </c>
      <c r="C80" s="56" t="inlineStr">
        <is>
          <t>Gurgaon</t>
        </is>
      </c>
      <c r="D80" s="55" t="inlineStr">
        <is>
          <t>North</t>
        </is>
      </c>
      <c r="E80" s="57">
        <f>COUNTIFS(Sales_Transactions!C:C, "Anjali Singh", Sales_Transactions!Q:Q, "&lt;&gt;Cancelled")</f>
        <v/>
      </c>
      <c r="F80" s="58">
        <f>SUMIFS(Sales_Transactions!M:M, Sales_Transactions!C:C, "Anjali Singh", Sales_Transactions!Q:Q, "&lt;&gt;Cancelled")</f>
        <v/>
      </c>
      <c r="G80" s="55">
        <f>IF(E80=0, "Never Purchased", "Active Customer")</f>
        <v/>
      </c>
      <c r="H80" s="39">
        <f>IF(E80=0, "Inactive", IF(F80&gt;=50000, "Platinum", IF(F80&gt;=20000, "Gold", IF(F80&gt;=5000, "Silver", "Bronze"))))</f>
        <v/>
      </c>
    </row>
    <row r="81">
      <c r="A81" s="51" t="n">
        <v>77</v>
      </c>
      <c r="B81" s="52" t="inlineStr">
        <is>
          <t>Rohit Mehta</t>
        </is>
      </c>
      <c r="C81" s="52" t="inlineStr">
        <is>
          <t>Chennai</t>
        </is>
      </c>
      <c r="D81" s="51" t="inlineStr">
        <is>
          <t>South</t>
        </is>
      </c>
      <c r="E81" s="53">
        <f>COUNTIFS(Sales_Transactions!C:C, "Rohit Mehta", Sales_Transactions!Q:Q, "&lt;&gt;Cancelled")</f>
        <v/>
      </c>
      <c r="F81" s="54">
        <f>SUMIFS(Sales_Transactions!M:M, Sales_Transactions!C:C, "Rohit Mehta", Sales_Transactions!Q:Q, "&lt;&gt;Cancelled")</f>
        <v/>
      </c>
      <c r="G81" s="51">
        <f>IF(E81=0, "Never Purchased", "Active Customer")</f>
        <v/>
      </c>
      <c r="H81" s="37">
        <f>IF(E81=0, "Inactive", IF(F81&gt;=50000, "Platinum", IF(F81&gt;=20000, "Gold", IF(F81&gt;=5000, "Silver", "Bronze"))))</f>
        <v/>
      </c>
    </row>
    <row r="82">
      <c r="A82" s="55" t="n">
        <v>78</v>
      </c>
      <c r="B82" s="56" t="inlineStr">
        <is>
          <t>Sunil Saxena</t>
        </is>
      </c>
      <c r="C82" s="56" t="inlineStr">
        <is>
          <t>Guwahati</t>
        </is>
      </c>
      <c r="D82" s="55" t="inlineStr">
        <is>
          <t>East</t>
        </is>
      </c>
      <c r="E82" s="57">
        <f>COUNTIFS(Sales_Transactions!C:C, "Sunil Saxena", Sales_Transactions!Q:Q, "&lt;&gt;Cancelled")</f>
        <v/>
      </c>
      <c r="F82" s="58">
        <f>SUMIFS(Sales_Transactions!M:M, Sales_Transactions!C:C, "Sunil Saxena", Sales_Transactions!Q:Q, "&lt;&gt;Cancelled")</f>
        <v/>
      </c>
      <c r="G82" s="55">
        <f>IF(E82=0, "Never Purchased", "Active Customer")</f>
        <v/>
      </c>
      <c r="H82" s="39">
        <f>IF(E82=0, "Inactive", IF(F82&gt;=50000, "Platinum", IF(F82&gt;=20000, "Gold", IF(F82&gt;=5000, "Silver", "Bronze"))))</f>
        <v/>
      </c>
    </row>
    <row r="83">
      <c r="A83" s="51" t="n">
        <v>79</v>
      </c>
      <c r="B83" s="52" t="inlineStr">
        <is>
          <t>Shreya Rao</t>
        </is>
      </c>
      <c r="C83" s="52" t="inlineStr">
        <is>
          <t>Kochi</t>
        </is>
      </c>
      <c r="D83" s="51" t="inlineStr">
        <is>
          <t>South</t>
        </is>
      </c>
      <c r="E83" s="53">
        <f>COUNTIFS(Sales_Transactions!C:C, "Shreya Rao", Sales_Transactions!Q:Q, "&lt;&gt;Cancelled")</f>
        <v/>
      </c>
      <c r="F83" s="54">
        <f>SUMIFS(Sales_Transactions!M:M, Sales_Transactions!C:C, "Shreya Rao", Sales_Transactions!Q:Q, "&lt;&gt;Cancelled")</f>
        <v/>
      </c>
      <c r="G83" s="51">
        <f>IF(E83=0, "Never Purchased", "Active Customer")</f>
        <v/>
      </c>
      <c r="H83" s="37">
        <f>IF(E83=0, "Inactive", IF(F83&gt;=50000, "Platinum", IF(F83&gt;=20000, "Gold", IF(F83&gt;=5000, "Silver", "Bronze"))))</f>
        <v/>
      </c>
    </row>
    <row r="84">
      <c r="A84" s="55" t="n">
        <v>80</v>
      </c>
      <c r="B84" s="56" t="inlineStr">
        <is>
          <t>Neha Reddy</t>
        </is>
      </c>
      <c r="C84" s="56" t="inlineStr">
        <is>
          <t>Bhubaneswar</t>
        </is>
      </c>
      <c r="D84" s="55" t="inlineStr">
        <is>
          <t>East</t>
        </is>
      </c>
      <c r="E84" s="57">
        <f>COUNTIFS(Sales_Transactions!C:C, "Neha Reddy", Sales_Transactions!Q:Q, "&lt;&gt;Cancelled")</f>
        <v/>
      </c>
      <c r="F84" s="58">
        <f>SUMIFS(Sales_Transactions!M:M, Sales_Transactions!C:C, "Neha Reddy", Sales_Transactions!Q:Q, "&lt;&gt;Cancelled")</f>
        <v/>
      </c>
      <c r="G84" s="55">
        <f>IF(E84=0, "Never Purchased", "Active Customer")</f>
        <v/>
      </c>
      <c r="H84" s="39">
        <f>IF(E84=0, "Inactive", IF(F84&gt;=50000, "Platinum", IF(F84&gt;=20000, "Gold", IF(F84&gt;=5000, "Silver", "Bronze"))))</f>
        <v/>
      </c>
    </row>
    <row r="85">
      <c r="A85" s="51" t="n">
        <v>81</v>
      </c>
      <c r="B85" s="52" t="inlineStr">
        <is>
          <t>Suresh Iyer</t>
        </is>
      </c>
      <c r="C85" s="52" t="inlineStr">
        <is>
          <t>Kolkata</t>
        </is>
      </c>
      <c r="D85" s="51" t="inlineStr">
        <is>
          <t>East</t>
        </is>
      </c>
      <c r="E85" s="53">
        <f>COUNTIFS(Sales_Transactions!C:C, "Suresh Iyer", Sales_Transactions!Q:Q, "&lt;&gt;Cancelled")</f>
        <v/>
      </c>
      <c r="F85" s="54">
        <f>SUMIFS(Sales_Transactions!M:M, Sales_Transactions!C:C, "Suresh Iyer", Sales_Transactions!Q:Q, "&lt;&gt;Cancelled")</f>
        <v/>
      </c>
      <c r="G85" s="51">
        <f>IF(E85=0, "Never Purchased", "Active Customer")</f>
        <v/>
      </c>
      <c r="H85" s="37">
        <f>IF(E85=0, "Inactive", IF(F85&gt;=50000, "Platinum", IF(F85&gt;=20000, "Gold", IF(F85&gt;=5000, "Silver", "Bronze"))))</f>
        <v/>
      </c>
    </row>
    <row r="86">
      <c r="A86" s="55" t="n">
        <v>82</v>
      </c>
      <c r="B86" s="56" t="inlineStr">
        <is>
          <t>Manoj Nair</t>
        </is>
      </c>
      <c r="C86" s="56" t="inlineStr">
        <is>
          <t>Patna</t>
        </is>
      </c>
      <c r="D86" s="55" t="inlineStr">
        <is>
          <t>East</t>
        </is>
      </c>
      <c r="E86" s="57">
        <f>COUNTIFS(Sales_Transactions!C:C, "Manoj Nair", Sales_Transactions!Q:Q, "&lt;&gt;Cancelled")</f>
        <v/>
      </c>
      <c r="F86" s="58">
        <f>SUMIFS(Sales_Transactions!M:M, Sales_Transactions!C:C, "Manoj Nair", Sales_Transactions!Q:Q, "&lt;&gt;Cancelled")</f>
        <v/>
      </c>
      <c r="G86" s="55">
        <f>IF(E86=0, "Never Purchased", "Active Customer")</f>
        <v/>
      </c>
      <c r="H86" s="39">
        <f>IF(E86=0, "Inactive", IF(F86&gt;=50000, "Platinum", IF(F86&gt;=20000, "Gold", IF(F86&gt;=5000, "Silver", "Bronze"))))</f>
        <v/>
      </c>
    </row>
    <row r="87">
      <c r="A87" s="51" t="n">
        <v>83</v>
      </c>
      <c r="B87" s="52" t="inlineStr">
        <is>
          <t>Manoj Gupta</t>
        </is>
      </c>
      <c r="C87" s="52" t="inlineStr">
        <is>
          <t>Lucknow</t>
        </is>
      </c>
      <c r="D87" s="51" t="inlineStr">
        <is>
          <t>North</t>
        </is>
      </c>
      <c r="E87" s="53">
        <f>COUNTIFS(Sales_Transactions!C:C, "Manoj Gupta", Sales_Transactions!Q:Q, "&lt;&gt;Cancelled")</f>
        <v/>
      </c>
      <c r="F87" s="54">
        <f>SUMIFS(Sales_Transactions!M:M, Sales_Transactions!C:C, "Manoj Gupta", Sales_Transactions!Q:Q, "&lt;&gt;Cancelled")</f>
        <v/>
      </c>
      <c r="G87" s="51">
        <f>IF(E87=0, "Never Purchased", "Active Customer")</f>
        <v/>
      </c>
      <c r="H87" s="37">
        <f>IF(E87=0, "Inactive", IF(F87&gt;=50000, "Platinum", IF(F87&gt;=20000, "Gold", IF(F87&gt;=5000, "Silver", "Bronze"))))</f>
        <v/>
      </c>
    </row>
    <row r="88">
      <c r="A88" s="55" t="n">
        <v>84</v>
      </c>
      <c r="B88" s="56" t="inlineStr">
        <is>
          <t>Swati Reddy</t>
        </is>
      </c>
      <c r="C88" s="56" t="inlineStr">
        <is>
          <t>Mumbai</t>
        </is>
      </c>
      <c r="D88" s="55" t="inlineStr">
        <is>
          <t>West</t>
        </is>
      </c>
      <c r="E88" s="57">
        <f>COUNTIFS(Sales_Transactions!C:C, "Swati Reddy", Sales_Transactions!Q:Q, "&lt;&gt;Cancelled")</f>
        <v/>
      </c>
      <c r="F88" s="58">
        <f>SUMIFS(Sales_Transactions!M:M, Sales_Transactions!C:C, "Swati Reddy", Sales_Transactions!Q:Q, "&lt;&gt;Cancelled")</f>
        <v/>
      </c>
      <c r="G88" s="55">
        <f>IF(E88=0, "Never Purchased", "Active Customer")</f>
        <v/>
      </c>
      <c r="H88" s="39">
        <f>IF(E88=0, "Inactive", IF(F88&gt;=50000, "Platinum", IF(F88&gt;=20000, "Gold", IF(F88&gt;=5000, "Silver", "Bronze"))))</f>
        <v/>
      </c>
    </row>
    <row r="89">
      <c r="A89" s="51" t="n">
        <v>85</v>
      </c>
      <c r="B89" s="52" t="inlineStr">
        <is>
          <t>Sunil Agarwal</t>
        </is>
      </c>
      <c r="C89" s="52" t="inlineStr">
        <is>
          <t>Guwahati</t>
        </is>
      </c>
      <c r="D89" s="51" t="inlineStr">
        <is>
          <t>East</t>
        </is>
      </c>
      <c r="E89" s="53">
        <f>COUNTIFS(Sales_Transactions!C:C, "Sunil Agarwal", Sales_Transactions!Q:Q, "&lt;&gt;Cancelled")</f>
        <v/>
      </c>
      <c r="F89" s="54">
        <f>SUMIFS(Sales_Transactions!M:M, Sales_Transactions!C:C, "Sunil Agarwal", Sales_Transactions!Q:Q, "&lt;&gt;Cancelled")</f>
        <v/>
      </c>
      <c r="G89" s="51">
        <f>IF(E89=0, "Never Purchased", "Active Customer")</f>
        <v/>
      </c>
      <c r="H89" s="37">
        <f>IF(E89=0, "Inactive", IF(F89&gt;=50000, "Platinum", IF(F89&gt;=20000, "Gold", IF(F89&gt;=5000, "Silver", "Bronze"))))</f>
        <v/>
      </c>
    </row>
    <row r="90">
      <c r="A90" s="55" t="n">
        <v>86</v>
      </c>
      <c r="B90" s="56" t="inlineStr">
        <is>
          <t>Priya Iyer</t>
        </is>
      </c>
      <c r="C90" s="56" t="inlineStr">
        <is>
          <t>Pune</t>
        </is>
      </c>
      <c r="D90" s="55" t="inlineStr">
        <is>
          <t>West</t>
        </is>
      </c>
      <c r="E90" s="57">
        <f>COUNTIFS(Sales_Transactions!C:C, "Priya Iyer", Sales_Transactions!Q:Q, "&lt;&gt;Cancelled")</f>
        <v/>
      </c>
      <c r="F90" s="58">
        <f>SUMIFS(Sales_Transactions!M:M, Sales_Transactions!C:C, "Priya Iyer", Sales_Transactions!Q:Q, "&lt;&gt;Cancelled")</f>
        <v/>
      </c>
      <c r="G90" s="55">
        <f>IF(E90=0, "Never Purchased", "Active Customer")</f>
        <v/>
      </c>
      <c r="H90" s="39">
        <f>IF(E90=0, "Inactive", IF(F90&gt;=50000, "Platinum", IF(F90&gt;=20000, "Gold", IF(F90&gt;=5000, "Silver", "Bronze"))))</f>
        <v/>
      </c>
    </row>
    <row r="91">
      <c r="A91" s="51" t="n">
        <v>87</v>
      </c>
      <c r="B91" s="52" t="inlineStr">
        <is>
          <t>Rohit Iyer</t>
        </is>
      </c>
      <c r="C91" s="52" t="inlineStr">
        <is>
          <t>Jabalpur</t>
        </is>
      </c>
      <c r="D91" s="51" t="inlineStr">
        <is>
          <t>Central</t>
        </is>
      </c>
      <c r="E91" s="53">
        <f>COUNTIFS(Sales_Transactions!C:C, "Rohit Iyer", Sales_Transactions!Q:Q, "&lt;&gt;Cancelled")</f>
        <v/>
      </c>
      <c r="F91" s="54">
        <f>SUMIFS(Sales_Transactions!M:M, Sales_Transactions!C:C, "Rohit Iyer", Sales_Transactions!Q:Q, "&lt;&gt;Cancelled")</f>
        <v/>
      </c>
      <c r="G91" s="51">
        <f>IF(E91=0, "Never Purchased", "Active Customer")</f>
        <v/>
      </c>
      <c r="H91" s="37">
        <f>IF(E91=0, "Inactive", IF(F91&gt;=50000, "Platinum", IF(F91&gt;=20000, "Gold", IF(F91&gt;=5000, "Silver", "Bronze"))))</f>
        <v/>
      </c>
    </row>
    <row r="92">
      <c r="A92" s="55" t="n">
        <v>88</v>
      </c>
      <c r="B92" s="56" t="inlineStr">
        <is>
          <t>Nikhil Joshi</t>
        </is>
      </c>
      <c r="C92" s="56" t="inlineStr">
        <is>
          <t>Gwalior</t>
        </is>
      </c>
      <c r="D92" s="55" t="inlineStr">
        <is>
          <t>Central</t>
        </is>
      </c>
      <c r="E92" s="57">
        <f>COUNTIFS(Sales_Transactions!C:C, "Nikhil Joshi", Sales_Transactions!Q:Q, "&lt;&gt;Cancelled")</f>
        <v/>
      </c>
      <c r="F92" s="58">
        <f>SUMIFS(Sales_Transactions!M:M, Sales_Transactions!C:C, "Nikhil Joshi", Sales_Transactions!Q:Q, "&lt;&gt;Cancelled")</f>
        <v/>
      </c>
      <c r="G92" s="55">
        <f>IF(E92=0, "Never Purchased", "Active Customer")</f>
        <v/>
      </c>
      <c r="H92" s="39">
        <f>IF(E92=0, "Inactive", IF(F92&gt;=50000, "Platinum", IF(F92&gt;=20000, "Gold", IF(F92&gt;=5000, "Silver", "Bronze"))))</f>
        <v/>
      </c>
    </row>
    <row r="93">
      <c r="A93" s="51" t="n">
        <v>89</v>
      </c>
      <c r="B93" s="52" t="inlineStr">
        <is>
          <t>Gaurav Malhotra</t>
        </is>
      </c>
      <c r="C93" s="52" t="inlineStr">
        <is>
          <t>Hyderabad</t>
        </is>
      </c>
      <c r="D93" s="51" t="inlineStr">
        <is>
          <t>South</t>
        </is>
      </c>
      <c r="E93" s="53">
        <f>COUNTIFS(Sales_Transactions!C:C, "Gaurav Malhotra", Sales_Transactions!Q:Q, "&lt;&gt;Cancelled")</f>
        <v/>
      </c>
      <c r="F93" s="54">
        <f>SUMIFS(Sales_Transactions!M:M, Sales_Transactions!C:C, "Gaurav Malhotra", Sales_Transactions!Q:Q, "&lt;&gt;Cancelled")</f>
        <v/>
      </c>
      <c r="G93" s="51">
        <f>IF(E93=0, "Never Purchased", "Active Customer")</f>
        <v/>
      </c>
      <c r="H93" s="37">
        <f>IF(E93=0, "Inactive", IF(F93&gt;=50000, "Platinum", IF(F93&gt;=20000, "Gold", IF(F93&gt;=5000, "Silver", "Bronze"))))</f>
        <v/>
      </c>
    </row>
    <row r="94">
      <c r="A94" s="55" t="n">
        <v>90</v>
      </c>
      <c r="B94" s="56" t="inlineStr">
        <is>
          <t>Anjali Sharma</t>
        </is>
      </c>
      <c r="C94" s="56" t="inlineStr">
        <is>
          <t>Gwalior</t>
        </is>
      </c>
      <c r="D94" s="55" t="inlineStr">
        <is>
          <t>Central</t>
        </is>
      </c>
      <c r="E94" s="57">
        <f>COUNTIFS(Sales_Transactions!C:C, "Anjali Sharma", Sales_Transactions!Q:Q, "&lt;&gt;Cancelled")</f>
        <v/>
      </c>
      <c r="F94" s="58">
        <f>SUMIFS(Sales_Transactions!M:M, Sales_Transactions!C:C, "Anjali Sharma", Sales_Transactions!Q:Q, "&lt;&gt;Cancelled")</f>
        <v/>
      </c>
      <c r="G94" s="55">
        <f>IF(E94=0, "Never Purchased", "Active Customer")</f>
        <v/>
      </c>
      <c r="H94" s="39">
        <f>IF(E94=0, "Inactive", IF(F94&gt;=50000, "Platinum", IF(F94&gt;=20000, "Gold", IF(F94&gt;=5000, "Silver", "Bronze"))))</f>
        <v/>
      </c>
    </row>
    <row r="95">
      <c r="A95" s="51" t="n">
        <v>91</v>
      </c>
      <c r="B95" s="52" t="inlineStr">
        <is>
          <t>Tanvi Joshi</t>
        </is>
      </c>
      <c r="C95" s="52" t="inlineStr">
        <is>
          <t>Lucknow</t>
        </is>
      </c>
      <c r="D95" s="51" t="inlineStr">
        <is>
          <t>North</t>
        </is>
      </c>
      <c r="E95" s="53">
        <f>COUNTIFS(Sales_Transactions!C:C, "Tanvi Joshi", Sales_Transactions!Q:Q, "&lt;&gt;Cancelled")</f>
        <v/>
      </c>
      <c r="F95" s="54">
        <f>SUMIFS(Sales_Transactions!M:M, Sales_Transactions!C:C, "Tanvi Joshi", Sales_Transactions!Q:Q, "&lt;&gt;Cancelled")</f>
        <v/>
      </c>
      <c r="G95" s="51">
        <f>IF(E95=0, "Never Purchased", "Active Customer")</f>
        <v/>
      </c>
      <c r="H95" s="37">
        <f>IF(E95=0, "Inactive", IF(F95&gt;=50000, "Platinum", IF(F95&gt;=20000, "Gold", IF(F95&gt;=5000, "Silver", "Bronze"))))</f>
        <v/>
      </c>
    </row>
    <row r="96">
      <c r="A96" s="55" t="n">
        <v>92</v>
      </c>
      <c r="B96" s="56" t="inlineStr">
        <is>
          <t>Tarun Reddy</t>
        </is>
      </c>
      <c r="C96" s="56" t="inlineStr">
        <is>
          <t>Lucknow</t>
        </is>
      </c>
      <c r="D96" s="55" t="inlineStr">
        <is>
          <t>North</t>
        </is>
      </c>
      <c r="E96" s="57">
        <f>COUNTIFS(Sales_Transactions!C:C, "Tarun Reddy", Sales_Transactions!Q:Q, "&lt;&gt;Cancelled")</f>
        <v/>
      </c>
      <c r="F96" s="58">
        <f>SUMIFS(Sales_Transactions!M:M, Sales_Transactions!C:C, "Tarun Reddy", Sales_Transactions!Q:Q, "&lt;&gt;Cancelled")</f>
        <v/>
      </c>
      <c r="G96" s="55">
        <f>IF(E96=0, "Never Purchased", "Active Customer")</f>
        <v/>
      </c>
      <c r="H96" s="39">
        <f>IF(E96=0, "Inactive", IF(F96&gt;=50000, "Platinum", IF(F96&gt;=20000, "Gold", IF(F96&gt;=5000, "Silver", "Bronze"))))</f>
        <v/>
      </c>
    </row>
    <row r="97">
      <c r="A97" s="51" t="n">
        <v>93</v>
      </c>
      <c r="B97" s="52" t="inlineStr">
        <is>
          <t>Rhea Choudhury</t>
        </is>
      </c>
      <c r="C97" s="52" t="inlineStr">
        <is>
          <t>Patna</t>
        </is>
      </c>
      <c r="D97" s="51" t="inlineStr">
        <is>
          <t>East</t>
        </is>
      </c>
      <c r="E97" s="53">
        <f>COUNTIFS(Sales_Transactions!C:C, "Rhea Choudhury", Sales_Transactions!Q:Q, "&lt;&gt;Cancelled")</f>
        <v/>
      </c>
      <c r="F97" s="54">
        <f>SUMIFS(Sales_Transactions!M:M, Sales_Transactions!C:C, "Rhea Choudhury", Sales_Transactions!Q:Q, "&lt;&gt;Cancelled")</f>
        <v/>
      </c>
      <c r="G97" s="51">
        <f>IF(E97=0, "Never Purchased", "Active Customer")</f>
        <v/>
      </c>
      <c r="H97" s="37">
        <f>IF(E97=0, "Inactive", IF(F97&gt;=50000, "Platinum", IF(F97&gt;=20000, "Gold", IF(F97&gt;=5000, "Silver", "Bronze"))))</f>
        <v/>
      </c>
    </row>
    <row r="98">
      <c r="A98" s="55" t="n">
        <v>94</v>
      </c>
      <c r="B98" s="56" t="inlineStr">
        <is>
          <t>Aditya Saxena</t>
        </is>
      </c>
      <c r="C98" s="56" t="inlineStr">
        <is>
          <t>Chennai</t>
        </is>
      </c>
      <c r="D98" s="55" t="inlineStr">
        <is>
          <t>South</t>
        </is>
      </c>
      <c r="E98" s="57">
        <f>COUNTIFS(Sales_Transactions!C:C, "Aditya Saxena", Sales_Transactions!Q:Q, "&lt;&gt;Cancelled")</f>
        <v/>
      </c>
      <c r="F98" s="58">
        <f>SUMIFS(Sales_Transactions!M:M, Sales_Transactions!C:C, "Aditya Saxena", Sales_Transactions!Q:Q, "&lt;&gt;Cancelled")</f>
        <v/>
      </c>
      <c r="G98" s="55">
        <f>IF(E98=0, "Never Purchased", "Active Customer")</f>
        <v/>
      </c>
      <c r="H98" s="39">
        <f>IF(E98=0, "Inactive", IF(F98&gt;=50000, "Platinum", IF(F98&gt;=20000, "Gold", IF(F98&gt;=5000, "Silver", "Bronze"))))</f>
        <v/>
      </c>
    </row>
    <row r="99">
      <c r="A99" s="51" t="n">
        <v>95</v>
      </c>
      <c r="B99" s="52" t="inlineStr">
        <is>
          <t>Gaurav Rao</t>
        </is>
      </c>
      <c r="C99" s="52" t="inlineStr">
        <is>
          <t>Gwalior</t>
        </is>
      </c>
      <c r="D99" s="51" t="inlineStr">
        <is>
          <t>Central</t>
        </is>
      </c>
      <c r="E99" s="53">
        <f>COUNTIFS(Sales_Transactions!C:C, "Gaurav Rao", Sales_Transactions!Q:Q, "&lt;&gt;Cancelled")</f>
        <v/>
      </c>
      <c r="F99" s="54">
        <f>SUMIFS(Sales_Transactions!M:M, Sales_Transactions!C:C, "Gaurav Rao", Sales_Transactions!Q:Q, "&lt;&gt;Cancelled")</f>
        <v/>
      </c>
      <c r="G99" s="51">
        <f>IF(E99=0, "Never Purchased", "Active Customer")</f>
        <v/>
      </c>
      <c r="H99" s="37">
        <f>IF(E99=0, "Inactive", IF(F99&gt;=50000, "Platinum", IF(F99&gt;=20000, "Gold", IF(F99&gt;=5000, "Silver", "Bronze"))))</f>
        <v/>
      </c>
    </row>
    <row r="100">
      <c r="A100" s="55" t="n">
        <v>96</v>
      </c>
      <c r="B100" s="56" t="inlineStr">
        <is>
          <t>Swati Saxena</t>
        </is>
      </c>
      <c r="C100" s="56" t="inlineStr">
        <is>
          <t>Gurgaon</t>
        </is>
      </c>
      <c r="D100" s="55" t="inlineStr">
        <is>
          <t>North</t>
        </is>
      </c>
      <c r="E100" s="57">
        <f>COUNTIFS(Sales_Transactions!C:C, "Swati Saxena", Sales_Transactions!Q:Q, "&lt;&gt;Cancelled")</f>
        <v/>
      </c>
      <c r="F100" s="58">
        <f>SUMIFS(Sales_Transactions!M:M, Sales_Transactions!C:C, "Swati Saxena", Sales_Transactions!Q:Q, "&lt;&gt;Cancelled")</f>
        <v/>
      </c>
      <c r="G100" s="55">
        <f>IF(E100=0, "Never Purchased", "Active Customer")</f>
        <v/>
      </c>
      <c r="H100" s="39">
        <f>IF(E100=0, "Inactive", IF(F100&gt;=50000, "Platinum", IF(F100&gt;=20000, "Gold", IF(F100&gt;=5000, "Silver", "Bronze"))))</f>
        <v/>
      </c>
    </row>
    <row r="101">
      <c r="A101" s="51" t="n">
        <v>97</v>
      </c>
      <c r="B101" s="52" t="inlineStr">
        <is>
          <t>Divya Joshi</t>
        </is>
      </c>
      <c r="C101" s="52" t="inlineStr">
        <is>
          <t>Gwalior</t>
        </is>
      </c>
      <c r="D101" s="51" t="inlineStr">
        <is>
          <t>Central</t>
        </is>
      </c>
      <c r="E101" s="53">
        <f>COUNTIFS(Sales_Transactions!C:C, "Divya Joshi", Sales_Transactions!Q:Q, "&lt;&gt;Cancelled")</f>
        <v/>
      </c>
      <c r="F101" s="54">
        <f>SUMIFS(Sales_Transactions!M:M, Sales_Transactions!C:C, "Divya Joshi", Sales_Transactions!Q:Q, "&lt;&gt;Cancelled")</f>
        <v/>
      </c>
      <c r="G101" s="51">
        <f>IF(E101=0, "Never Purchased", "Active Customer")</f>
        <v/>
      </c>
      <c r="H101" s="37">
        <f>IF(E101=0, "Inactive", IF(F101&gt;=50000, "Platinum", IF(F101&gt;=20000, "Gold", IF(F101&gt;=5000, "Silver", "Bronze"))))</f>
        <v/>
      </c>
    </row>
    <row r="102">
      <c r="A102" s="55" t="n">
        <v>98</v>
      </c>
      <c r="B102" s="56" t="inlineStr">
        <is>
          <t>Simran Bhat</t>
        </is>
      </c>
      <c r="C102" s="56" t="inlineStr">
        <is>
          <t>Bhubaneswar</t>
        </is>
      </c>
      <c r="D102" s="55" t="inlineStr">
        <is>
          <t>East</t>
        </is>
      </c>
      <c r="E102" s="57">
        <f>COUNTIFS(Sales_Transactions!C:C, "Simran Bhat", Sales_Transactions!Q:Q, "&lt;&gt;Cancelled")</f>
        <v/>
      </c>
      <c r="F102" s="58">
        <f>SUMIFS(Sales_Transactions!M:M, Sales_Transactions!C:C, "Simran Bhat", Sales_Transactions!Q:Q, "&lt;&gt;Cancelled")</f>
        <v/>
      </c>
      <c r="G102" s="55">
        <f>IF(E102=0, "Never Purchased", "Active Customer")</f>
        <v/>
      </c>
      <c r="H102" s="39">
        <f>IF(E102=0, "Inactive", IF(F102&gt;=50000, "Platinum", IF(F102&gt;=20000, "Gold", IF(F102&gt;=5000, "Silver", "Bronze"))))</f>
        <v/>
      </c>
    </row>
    <row r="103">
      <c r="A103" s="51" t="n">
        <v>99</v>
      </c>
      <c r="B103" s="52" t="inlineStr">
        <is>
          <t>Pranav Rao</t>
        </is>
      </c>
      <c r="C103" s="52" t="inlineStr">
        <is>
          <t>Gurgaon</t>
        </is>
      </c>
      <c r="D103" s="51" t="inlineStr">
        <is>
          <t>North</t>
        </is>
      </c>
      <c r="E103" s="53">
        <f>COUNTIFS(Sales_Transactions!C:C, "Pranav Rao", Sales_Transactions!Q:Q, "&lt;&gt;Cancelled")</f>
        <v/>
      </c>
      <c r="F103" s="54">
        <f>SUMIFS(Sales_Transactions!M:M, Sales_Transactions!C:C, "Pranav Rao", Sales_Transactions!Q:Q, "&lt;&gt;Cancelled")</f>
        <v/>
      </c>
      <c r="G103" s="51">
        <f>IF(E103=0, "Never Purchased", "Active Customer")</f>
        <v/>
      </c>
      <c r="H103" s="37">
        <f>IF(E103=0, "Inactive", IF(F103&gt;=50000, "Platinum", IF(F103&gt;=20000, "Gold", IF(F103&gt;=5000, "Silver", "Bronze"))))</f>
        <v/>
      </c>
    </row>
    <row r="104">
      <c r="A104" s="55" t="n">
        <v>100</v>
      </c>
      <c r="B104" s="56" t="inlineStr">
        <is>
          <t>Tarun Reddy</t>
        </is>
      </c>
      <c r="C104" s="56" t="inlineStr">
        <is>
          <t>Noida</t>
        </is>
      </c>
      <c r="D104" s="55" t="inlineStr">
        <is>
          <t>North</t>
        </is>
      </c>
      <c r="E104" s="57">
        <f>COUNTIFS(Sales_Transactions!C:C, "Tarun Reddy", Sales_Transactions!Q:Q, "&lt;&gt;Cancelled")</f>
        <v/>
      </c>
      <c r="F104" s="58">
        <f>SUMIFS(Sales_Transactions!M:M, Sales_Transactions!C:C, "Tarun Reddy", Sales_Transactions!Q:Q, "&lt;&gt;Cancelled")</f>
        <v/>
      </c>
      <c r="G104" s="55">
        <f>IF(E104=0, "Never Purchased", "Active Customer")</f>
        <v/>
      </c>
      <c r="H104" s="39">
        <f>IF(E104=0, "Inactive", IF(F104&gt;=50000, "Platinum", IF(F104&gt;=20000, "Gold", IF(F104&gt;=5000, "Silver", "Bronze"))))</f>
        <v/>
      </c>
    </row>
    <row r="105">
      <c r="A105" s="51" t="n">
        <v>101</v>
      </c>
      <c r="B105" s="52" t="inlineStr">
        <is>
          <t>Manoj Nair</t>
        </is>
      </c>
      <c r="C105" s="52" t="inlineStr">
        <is>
          <t>Bengaluru</t>
        </is>
      </c>
      <c r="D105" s="51" t="inlineStr">
        <is>
          <t>South</t>
        </is>
      </c>
      <c r="E105" s="53">
        <f>COUNTIFS(Sales_Transactions!C:C, "Manoj Nair", Sales_Transactions!Q:Q, "&lt;&gt;Cancelled")</f>
        <v/>
      </c>
      <c r="F105" s="54">
        <f>SUMIFS(Sales_Transactions!M:M, Sales_Transactions!C:C, "Manoj Nair", Sales_Transactions!Q:Q, "&lt;&gt;Cancelled")</f>
        <v/>
      </c>
      <c r="G105" s="51">
        <f>IF(E105=0, "Never Purchased", "Active Customer")</f>
        <v/>
      </c>
      <c r="H105" s="37">
        <f>IF(E105=0, "Inactive", IF(F105&gt;=50000, "Platinum", IF(F105&gt;=20000, "Gold", IF(F105&gt;=5000, "Silver", "Bronze"))))</f>
        <v/>
      </c>
    </row>
    <row r="106">
      <c r="A106" s="55" t="n">
        <v>102</v>
      </c>
      <c r="B106" s="56" t="inlineStr">
        <is>
          <t>Shreya Kapoor</t>
        </is>
      </c>
      <c r="C106" s="56" t="inlineStr">
        <is>
          <t>Bhopal</t>
        </is>
      </c>
      <c r="D106" s="55" t="inlineStr">
        <is>
          <t>Central</t>
        </is>
      </c>
      <c r="E106" s="57">
        <f>COUNTIFS(Sales_Transactions!C:C, "Shreya Kapoor", Sales_Transactions!Q:Q, "&lt;&gt;Cancelled")</f>
        <v/>
      </c>
      <c r="F106" s="58">
        <f>SUMIFS(Sales_Transactions!M:M, Sales_Transactions!C:C, "Shreya Kapoor", Sales_Transactions!Q:Q, "&lt;&gt;Cancelled")</f>
        <v/>
      </c>
      <c r="G106" s="55">
        <f>IF(E106=0, "Never Purchased", "Active Customer")</f>
        <v/>
      </c>
      <c r="H106" s="39">
        <f>IF(E106=0, "Inactive", IF(F106&gt;=50000, "Platinum", IF(F106&gt;=20000, "Gold", IF(F106&gt;=5000, "Silver", "Bronze"))))</f>
        <v/>
      </c>
    </row>
    <row r="107">
      <c r="A107" s="51" t="n">
        <v>103</v>
      </c>
      <c r="B107" s="52" t="inlineStr">
        <is>
          <t>Sanjay Malhotra</t>
        </is>
      </c>
      <c r="C107" s="52" t="inlineStr">
        <is>
          <t>Kochi</t>
        </is>
      </c>
      <c r="D107" s="51" t="inlineStr">
        <is>
          <t>South</t>
        </is>
      </c>
      <c r="E107" s="53">
        <f>COUNTIFS(Sales_Transactions!C:C, "Sanjay Malhotra", Sales_Transactions!Q:Q, "&lt;&gt;Cancelled")</f>
        <v/>
      </c>
      <c r="F107" s="54">
        <f>SUMIFS(Sales_Transactions!M:M, Sales_Transactions!C:C, "Sanjay Malhotra", Sales_Transactions!Q:Q, "&lt;&gt;Cancelled")</f>
        <v/>
      </c>
      <c r="G107" s="51">
        <f>IF(E107=0, "Never Purchased", "Active Customer")</f>
        <v/>
      </c>
      <c r="H107" s="37">
        <f>IF(E107=0, "Inactive", IF(F107&gt;=50000, "Platinum", IF(F107&gt;=20000, "Gold", IF(F107&gt;=5000, "Silver", "Bronze"))))</f>
        <v/>
      </c>
    </row>
    <row r="108">
      <c r="A108" s="55" t="n">
        <v>104</v>
      </c>
      <c r="B108" s="56" t="inlineStr">
        <is>
          <t>Swati Gupta</t>
        </is>
      </c>
      <c r="C108" s="56" t="inlineStr">
        <is>
          <t>Bengaluru</t>
        </is>
      </c>
      <c r="D108" s="55" t="inlineStr">
        <is>
          <t>South</t>
        </is>
      </c>
      <c r="E108" s="57">
        <f>COUNTIFS(Sales_Transactions!C:C, "Swati Gupta", Sales_Transactions!Q:Q, "&lt;&gt;Cancelled")</f>
        <v/>
      </c>
      <c r="F108" s="58">
        <f>SUMIFS(Sales_Transactions!M:M, Sales_Transactions!C:C, "Swati Gupta", Sales_Transactions!Q:Q, "&lt;&gt;Cancelled")</f>
        <v/>
      </c>
      <c r="G108" s="55">
        <f>IF(E108=0, "Never Purchased", "Active Customer")</f>
        <v/>
      </c>
      <c r="H108" s="39">
        <f>IF(E108=0, "Inactive", IF(F108&gt;=50000, "Platinum", IF(F108&gt;=20000, "Gold", IF(F108&gt;=5000, "Silver", "Bronze"))))</f>
        <v/>
      </c>
    </row>
    <row r="109">
      <c r="A109" s="51" t="n">
        <v>105</v>
      </c>
      <c r="B109" s="52" t="inlineStr">
        <is>
          <t>Anjali Gupta</t>
        </is>
      </c>
      <c r="C109" s="52" t="inlineStr">
        <is>
          <t>Coimbatore</t>
        </is>
      </c>
      <c r="D109" s="51" t="inlineStr">
        <is>
          <t>South</t>
        </is>
      </c>
      <c r="E109" s="53">
        <f>COUNTIFS(Sales_Transactions!C:C, "Anjali Gupta", Sales_Transactions!Q:Q, "&lt;&gt;Cancelled")</f>
        <v/>
      </c>
      <c r="F109" s="54">
        <f>SUMIFS(Sales_Transactions!M:M, Sales_Transactions!C:C, "Anjali Gupta", Sales_Transactions!Q:Q, "&lt;&gt;Cancelled")</f>
        <v/>
      </c>
      <c r="G109" s="51">
        <f>IF(E109=0, "Never Purchased", "Active Customer")</f>
        <v/>
      </c>
      <c r="H109" s="37">
        <f>IF(E109=0, "Inactive", IF(F109&gt;=50000, "Platinum", IF(F109&gt;=20000, "Gold", IF(F109&gt;=5000, "Silver", "Bronze"))))</f>
        <v/>
      </c>
    </row>
    <row r="110">
      <c r="A110" s="55" t="n">
        <v>106</v>
      </c>
      <c r="B110" s="56" t="inlineStr">
        <is>
          <t>Ananya Saxena</t>
        </is>
      </c>
      <c r="C110" s="56" t="inlineStr">
        <is>
          <t>Bengaluru</t>
        </is>
      </c>
      <c r="D110" s="55" t="inlineStr">
        <is>
          <t>South</t>
        </is>
      </c>
      <c r="E110" s="57">
        <f>COUNTIFS(Sales_Transactions!C:C, "Ananya Saxena", Sales_Transactions!Q:Q, "&lt;&gt;Cancelled")</f>
        <v/>
      </c>
      <c r="F110" s="58">
        <f>SUMIFS(Sales_Transactions!M:M, Sales_Transactions!C:C, "Ananya Saxena", Sales_Transactions!Q:Q, "&lt;&gt;Cancelled")</f>
        <v/>
      </c>
      <c r="G110" s="55">
        <f>IF(E110=0, "Never Purchased", "Active Customer")</f>
        <v/>
      </c>
      <c r="H110" s="39">
        <f>IF(E110=0, "Inactive", IF(F110&gt;=50000, "Platinum", IF(F110&gt;=20000, "Gold", IF(F110&gt;=5000, "Silver", "Bronze"))))</f>
        <v/>
      </c>
    </row>
    <row r="111">
      <c r="A111" s="51" t="n">
        <v>107</v>
      </c>
      <c r="B111" s="52" t="inlineStr">
        <is>
          <t>Amit Bhat</t>
        </is>
      </c>
      <c r="C111" s="52" t="inlineStr">
        <is>
          <t>Gwalior</t>
        </is>
      </c>
      <c r="D111" s="51" t="inlineStr">
        <is>
          <t>Central</t>
        </is>
      </c>
      <c r="E111" s="53">
        <f>COUNTIFS(Sales_Transactions!C:C, "Amit Bhat", Sales_Transactions!Q:Q, "&lt;&gt;Cancelled")</f>
        <v/>
      </c>
      <c r="F111" s="54">
        <f>SUMIFS(Sales_Transactions!M:M, Sales_Transactions!C:C, "Amit Bhat", Sales_Transactions!Q:Q, "&lt;&gt;Cancelled")</f>
        <v/>
      </c>
      <c r="G111" s="51">
        <f>IF(E111=0, "Never Purchased", "Active Customer")</f>
        <v/>
      </c>
      <c r="H111" s="37">
        <f>IF(E111=0, "Inactive", IF(F111&gt;=50000, "Platinum", IF(F111&gt;=20000, "Gold", IF(F111&gt;=5000, "Silver", "Bronze"))))</f>
        <v/>
      </c>
    </row>
    <row r="112">
      <c r="A112" s="55" t="n">
        <v>108</v>
      </c>
      <c r="B112" s="56" t="inlineStr">
        <is>
          <t>Varun Kulkarni</t>
        </is>
      </c>
      <c r="C112" s="56" t="inlineStr">
        <is>
          <t>Jabalpur</t>
        </is>
      </c>
      <c r="D112" s="55" t="inlineStr">
        <is>
          <t>Central</t>
        </is>
      </c>
      <c r="E112" s="57">
        <f>COUNTIFS(Sales_Transactions!C:C, "Varun Kulkarni", Sales_Transactions!Q:Q, "&lt;&gt;Cancelled")</f>
        <v/>
      </c>
      <c r="F112" s="58">
        <f>SUMIFS(Sales_Transactions!M:M, Sales_Transactions!C:C, "Varun Kulkarni", Sales_Transactions!Q:Q, "&lt;&gt;Cancelled")</f>
        <v/>
      </c>
      <c r="G112" s="55">
        <f>IF(E112=0, "Never Purchased", "Active Customer")</f>
        <v/>
      </c>
      <c r="H112" s="39">
        <f>IF(E112=0, "Inactive", IF(F112&gt;=50000, "Platinum", IF(F112&gt;=20000, "Gold", IF(F112&gt;=5000, "Silver", "Bronze"))))</f>
        <v/>
      </c>
    </row>
    <row r="113">
      <c r="A113" s="51" t="n">
        <v>109</v>
      </c>
      <c r="B113" s="52" t="inlineStr">
        <is>
          <t>Varun Rao</t>
        </is>
      </c>
      <c r="C113" s="52" t="inlineStr">
        <is>
          <t>Ranchi</t>
        </is>
      </c>
      <c r="D113" s="51" t="inlineStr">
        <is>
          <t>East</t>
        </is>
      </c>
      <c r="E113" s="53">
        <f>COUNTIFS(Sales_Transactions!C:C, "Varun Rao", Sales_Transactions!Q:Q, "&lt;&gt;Cancelled")</f>
        <v/>
      </c>
      <c r="F113" s="54">
        <f>SUMIFS(Sales_Transactions!M:M, Sales_Transactions!C:C, "Varun Rao", Sales_Transactions!Q:Q, "&lt;&gt;Cancelled")</f>
        <v/>
      </c>
      <c r="G113" s="51">
        <f>IF(E113=0, "Never Purchased", "Active Customer")</f>
        <v/>
      </c>
      <c r="H113" s="37">
        <f>IF(E113=0, "Inactive", IF(F113&gt;=50000, "Platinum", IF(F113&gt;=20000, "Gold", IF(F113&gt;=5000, "Silver", "Bronze"))))</f>
        <v/>
      </c>
    </row>
    <row r="114">
      <c r="A114" s="55" t="n">
        <v>110</v>
      </c>
      <c r="B114" s="56" t="inlineStr">
        <is>
          <t>Shreya Deshmukh</t>
        </is>
      </c>
      <c r="C114" s="56" t="inlineStr">
        <is>
          <t>Jabalpur</t>
        </is>
      </c>
      <c r="D114" s="55" t="inlineStr">
        <is>
          <t>Central</t>
        </is>
      </c>
      <c r="E114" s="57">
        <f>COUNTIFS(Sales_Transactions!C:C, "Shreya Deshmukh", Sales_Transactions!Q:Q, "&lt;&gt;Cancelled")</f>
        <v/>
      </c>
      <c r="F114" s="58">
        <f>SUMIFS(Sales_Transactions!M:M, Sales_Transactions!C:C, "Shreya Deshmukh", Sales_Transactions!Q:Q, "&lt;&gt;Cancelled")</f>
        <v/>
      </c>
      <c r="G114" s="55">
        <f>IF(E114=0, "Never Purchased", "Active Customer")</f>
        <v/>
      </c>
      <c r="H114" s="39">
        <f>IF(E114=0, "Inactive", IF(F114&gt;=50000, "Platinum", IF(F114&gt;=20000, "Gold", IF(F114&gt;=5000, "Silver", "Bronze"))))</f>
        <v/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2026-10-29T20:53:02Z</dcterms:created>
  <dcterms:modified xsi:type="dcterms:W3CDTF">2026-10-29T20:53:03Z</dcterms:modified>
</cp:coreProperties>
</file>